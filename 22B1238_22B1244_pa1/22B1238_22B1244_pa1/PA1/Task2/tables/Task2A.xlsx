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1A" sheetId="1" r:id="rId4"/>
    <sheet state="visible" name="Task 1B" sheetId="2" r:id="rId5"/>
    <sheet state="visible" name="Task 1C" sheetId="3" r:id="rId6"/>
    <sheet state="visible" name="Task 1D " sheetId="4" r:id="rId7"/>
    <sheet state="visible" name="Task 1E" sheetId="5" r:id="rId8"/>
    <sheet state="visible" name="Task 2A speedup" sheetId="6" r:id="rId9"/>
    <sheet state="visible" name="Task 2A misses" sheetId="7" r:id="rId10"/>
    <sheet state="visible" name="Task 2B" sheetId="8" r:id="rId11"/>
    <sheet state="visible" name="Task 2C" sheetId="9" r:id="rId12"/>
  </sheets>
  <definedNames>
    <definedName hidden="1" localSheetId="5" name="_xlnm._FilterDatabase">'Task 2A speedup'!$C$1:$C$999</definedName>
  </definedNames>
  <calcPr/>
</workbook>
</file>

<file path=xl/sharedStrings.xml><?xml version="1.0" encoding="utf-8"?>
<sst xmlns="http://schemas.openxmlformats.org/spreadsheetml/2006/main" count="640" uniqueCount="147">
  <si>
    <t>Input Size</t>
  </si>
  <si>
    <t>exec_time</t>
  </si>
  <si>
    <t>exec_time for loop1</t>
  </si>
  <si>
    <t>exec_time for loop4</t>
  </si>
  <si>
    <t>exec_time for loop8</t>
  </si>
  <si>
    <t>exec_time for loop16</t>
  </si>
  <si>
    <t>exec_time for loop32</t>
  </si>
  <si>
    <t>speedup 1</t>
  </si>
  <si>
    <t>speedup 4</t>
  </si>
  <si>
    <t>speedup 8</t>
  </si>
  <si>
    <t>speedup 16</t>
  </si>
  <si>
    <t>speedup 32</t>
  </si>
  <si>
    <t>Instructions</t>
  </si>
  <si>
    <t>Cache Misses</t>
  </si>
  <si>
    <t>MPKI</t>
  </si>
  <si>
    <t>Naive time</t>
  </si>
  <si>
    <t>exec_time for tile4</t>
  </si>
  <si>
    <t>exec_time for tile8</t>
  </si>
  <si>
    <t>exec_time for tile16</t>
  </si>
  <si>
    <t>exec_time for tile32</t>
  </si>
  <si>
    <t>exec_time for tile64</t>
  </si>
  <si>
    <t>Speedup tile4</t>
  </si>
  <si>
    <t>Speedup  tile8</t>
  </si>
  <si>
    <t>Speedup  tile16</t>
  </si>
  <si>
    <t>Speedup  tile32</t>
  </si>
  <si>
    <t>Speedup  tile64</t>
  </si>
  <si>
    <t>MPKI naive</t>
  </si>
  <si>
    <t>exec_time for naive</t>
  </si>
  <si>
    <t>MPKI for tile4</t>
  </si>
  <si>
    <t>MPKI for tile8</t>
  </si>
  <si>
    <t>MPKI for tile16</t>
  </si>
  <si>
    <t>MPKI for tile32</t>
  </si>
  <si>
    <t>MPKI for tile64</t>
  </si>
  <si>
    <t>MPKI for tile128</t>
  </si>
  <si>
    <t>MPKI for simd512</t>
  </si>
  <si>
    <t>Input size</t>
  </si>
  <si>
    <t>exec_time for simd128</t>
  </si>
  <si>
    <t>simd128</t>
  </si>
  <si>
    <t>exec_time for simd256</t>
  </si>
  <si>
    <t>simd256</t>
  </si>
  <si>
    <t>MPKI for simd256</t>
  </si>
  <si>
    <t>MPKI for simd128</t>
  </si>
  <si>
    <t>exec_time for simd512</t>
  </si>
  <si>
    <t>simd512</t>
  </si>
  <si>
    <t xml:space="preserve"> naive</t>
  </si>
  <si>
    <t xml:space="preserve"> tiling8+loop reorder (1)</t>
  </si>
  <si>
    <t>tiling8+loop reorder (2)</t>
  </si>
  <si>
    <t>simd512 + loop reorder</t>
  </si>
  <si>
    <t>simd256 + loop reorder</t>
  </si>
  <si>
    <t>imd512 + tile8 (1)</t>
  </si>
  <si>
    <t>simd512 + tile8 (2)</t>
  </si>
  <si>
    <t>simd256 + tile8 (1)</t>
  </si>
  <si>
    <t>simd256 + tile8 (2)</t>
  </si>
  <si>
    <t>simd256 + tile16</t>
  </si>
  <si>
    <t>simd512 + tile16</t>
  </si>
  <si>
    <t>simd512 + tile32</t>
  </si>
  <si>
    <t>simd512 + tile64</t>
  </si>
  <si>
    <t>simd256 + tile64</t>
  </si>
  <si>
    <t>simd512 + tile32 + loop reorder</t>
  </si>
  <si>
    <t>simd512 + tile16 + loop reorder</t>
  </si>
  <si>
    <t>tiling64 + reordering</t>
  </si>
  <si>
    <t>Column 19</t>
  </si>
  <si>
    <t>tiling8+loop reorder (1)</t>
  </si>
  <si>
    <t>tiling64 + reorder</t>
  </si>
  <si>
    <t>simd 512</t>
  </si>
  <si>
    <t>tile 64</t>
  </si>
  <si>
    <t>Opt. Transpose</t>
  </si>
  <si>
    <t>Naive (ms)</t>
  </si>
  <si>
    <t>2x Unroll</t>
  </si>
  <si>
    <t>4x Unroll</t>
  </si>
  <si>
    <t>8x Unroll</t>
  </si>
  <si>
    <t>16x Unroll</t>
  </si>
  <si>
    <t>Reordering</t>
  </si>
  <si>
    <t>2 Tile</t>
  </si>
  <si>
    <t>4 Tile</t>
  </si>
  <si>
    <t>8 Tile</t>
  </si>
  <si>
    <t>16 Tile</t>
  </si>
  <si>
    <t>32 Tile</t>
  </si>
  <si>
    <t>64 Tile</t>
  </si>
  <si>
    <t>128 Tile</t>
  </si>
  <si>
    <t>256 Tile</t>
  </si>
  <si>
    <t>256 SIMD</t>
  </si>
  <si>
    <t>NN Basic</t>
  </si>
  <si>
    <t>NN Reordered</t>
  </si>
  <si>
    <t>NN Unrolled</t>
  </si>
  <si>
    <t>NN Tiled</t>
  </si>
  <si>
    <t>NN Vectorized</t>
  </si>
  <si>
    <t>No</t>
  </si>
  <si>
    <t>Yes</t>
  </si>
  <si>
    <t>Performance Type</t>
  </si>
  <si>
    <t>inp</t>
  </si>
  <si>
    <t>size</t>
  </si>
  <si>
    <t>cache</t>
  </si>
  <si>
    <t>fill</t>
  </si>
  <si>
    <t>L1</t>
  </si>
  <si>
    <t>L0</t>
  </si>
  <si>
    <t>np</t>
  </si>
  <si>
    <t>L2</t>
  </si>
  <si>
    <t>Emb</t>
  </si>
  <si>
    <t>dim</t>
  </si>
  <si>
    <t>pf_dist</t>
  </si>
  <si>
    <t>naive_time</t>
  </si>
  <si>
    <t>tpf</t>
  </si>
  <si>
    <t>pf</t>
  </si>
  <si>
    <t>naive time</t>
  </si>
  <si>
    <t>speedup</t>
  </si>
  <si>
    <t/>
  </si>
  <si>
    <t>Emb_size</t>
  </si>
  <si>
    <t>Spf</t>
  </si>
  <si>
    <t>instructions</t>
  </si>
  <si>
    <t>L1Dmiss</t>
  </si>
  <si>
    <t>L2miss</t>
  </si>
  <si>
    <t>LLCmiss</t>
  </si>
  <si>
    <t>SW-PFacc</t>
  </si>
  <si>
    <t>T2</t>
  </si>
  <si>
    <t>level</t>
  </si>
  <si>
    <t>time</t>
  </si>
  <si>
    <t>T1</t>
  </si>
  <si>
    <t>T0</t>
  </si>
  <si>
    <t>mb_size</t>
  </si>
  <si>
    <t>Hello</t>
  </si>
  <si>
    <t>Saima</t>
  </si>
  <si>
    <t>You there?</t>
  </si>
  <si>
    <t>My love</t>
  </si>
  <si>
    <t>no</t>
  </si>
  <si>
    <t>simd</t>
  </si>
  <si>
    <t>(size, dim)</t>
  </si>
  <si>
    <t>naive</t>
  </si>
  <si>
    <t>50000, 128</t>
  </si>
  <si>
    <t>width:</t>
  </si>
  <si>
    <t>512b</t>
  </si>
  <si>
    <t>256b</t>
  </si>
  <si>
    <t>128b</t>
  </si>
  <si>
    <t>simd-</t>
  </si>
  <si>
    <t>pf-</t>
  </si>
  <si>
    <t>16,</t>
  </si>
  <si>
    <t>32,</t>
  </si>
  <si>
    <t>-</t>
  </si>
  <si>
    <t>T2,</t>
  </si>
  <si>
    <t>512, T0</t>
  </si>
  <si>
    <t>512, T1</t>
  </si>
  <si>
    <t>512, T2</t>
  </si>
  <si>
    <t>Yoooo</t>
  </si>
  <si>
    <t>Check the graph I made</t>
  </si>
  <si>
    <t>256, T0</t>
  </si>
  <si>
    <t>256, T1</t>
  </si>
  <si>
    <t>256, 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</si>
</sst>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569CD6"/>
      <name val="'Droid Sans Mono'"/>
    </font>
    <font>
      <sz val="11.0"/>
      <color rgb="FFCCCCCC"/>
      <name val="'Droid Sans Mono'"/>
    </font>
    <font>
      <sz val="11.0"/>
      <color rgb="FFCCCCCC"/>
      <name val="Droid Sans Mono"/>
    </font>
    <font>
      <sz val="11.0"/>
      <color theme="1"/>
      <name val="Arial"/>
      <scheme val="minor"/>
    </font>
    <font>
      <sz val="9.0"/>
      <color rgb="FF7E3794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1F1F"/>
        <bgColor rgb="FF1F1F1F"/>
      </patternFill>
    </fill>
    <fill>
      <patternFill patternType="solid">
        <fgColor rgb="FFFF9900"/>
        <bgColor rgb="FFFF9900"/>
      </patternFill>
    </fill>
  </fills>
  <borders count="16">
    <border/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3E4791"/>
      </right>
      <top style="thin">
        <color rgb="FF3E4791"/>
      </top>
      <bottom style="thin">
        <color rgb="FF3E4791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3E4791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</border>
    <border>
      <left style="thin">
        <color rgb="FF1F1F1F"/>
      </left>
      <right style="thin">
        <color rgb="FF3E4791"/>
      </right>
      <top style="thin">
        <color rgb="FF1F1F1F"/>
      </top>
      <bottom style="thin">
        <color rgb="FF1F1F1F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shrinkToFit="0" vertical="center" wrapText="0"/>
    </xf>
    <xf borderId="5" fillId="2" fontId="2" numFmtId="0" xfId="0" applyAlignment="1" applyBorder="1" applyFill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1"/>
    </xf>
    <xf borderId="9" fillId="0" fontId="1" numFmtId="0" xfId="0" applyAlignment="1" applyBorder="1" applyFont="1">
      <alignment shrinkToFit="0" vertical="center" wrapText="1"/>
    </xf>
    <xf borderId="10" fillId="0" fontId="1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shrinkToFit="0" vertical="center" wrapText="0"/>
    </xf>
    <xf borderId="12" fillId="3" fontId="1" numFmtId="0" xfId="0" applyAlignment="1" applyBorder="1" applyFill="1" applyFont="1">
      <alignment readingOrder="0" shrinkToFit="0" vertical="center" wrapText="0"/>
    </xf>
    <xf borderId="13" fillId="0" fontId="1" numFmtId="0" xfId="0" applyAlignment="1" applyBorder="1" applyFont="1">
      <alignment shrinkToFit="0" vertical="center" wrapText="1"/>
    </xf>
    <xf borderId="13" fillId="0" fontId="1" numFmtId="0" xfId="0" applyAlignment="1" applyBorder="1" applyFont="1">
      <alignment shrinkToFit="0" vertical="center" wrapText="1"/>
    </xf>
    <xf borderId="14" fillId="0" fontId="1" numFmtId="0" xfId="0" applyAlignment="1" applyBorder="1" applyFont="1">
      <alignment shrinkToFit="0" vertical="center" wrapText="1"/>
    </xf>
    <xf borderId="0" fillId="2" fontId="3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0" fontId="1" numFmtId="0" xfId="0" applyAlignment="1" applyFont="1">
      <alignment readingOrder="0"/>
    </xf>
    <xf borderId="2" fillId="0" fontId="1" numFmtId="0" xfId="0" applyAlignment="1" applyBorder="1" applyFont="1">
      <alignment horizontal="left"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13" fillId="0" fontId="1" numFmtId="0" xfId="0" applyAlignment="1" applyBorder="1" applyFont="1">
      <alignment shrinkToFit="0" vertical="center" wrapText="0"/>
    </xf>
    <xf borderId="0" fillId="0" fontId="1" numFmtId="0" xfId="0" applyFont="1"/>
    <xf borderId="1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shrinkToFit="0" vertical="center" wrapText="1"/>
    </xf>
    <xf borderId="5" fillId="2" fontId="2" numFmtId="0" xfId="0" applyAlignment="1" applyBorder="1" applyFont="1">
      <alignment readingOrder="0" shrinkToFit="0" vertical="center" wrapText="0"/>
    </xf>
    <xf borderId="15" fillId="2" fontId="2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1"/>
    </xf>
    <xf borderId="9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1"/>
    </xf>
    <xf borderId="13" fillId="0" fontId="1" numFmtId="0" xfId="0" applyAlignment="1" applyBorder="1" applyFont="1">
      <alignment readingOrder="0" shrinkToFit="0" vertical="center" wrapText="1"/>
    </xf>
    <xf borderId="13" fillId="0" fontId="1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shrinkToFit="0" vertical="center" wrapText="0"/>
    </xf>
    <xf borderId="13" fillId="0" fontId="1" numFmtId="0" xfId="0" applyAlignment="1" applyBorder="1" applyFont="1">
      <alignment shrinkToFit="0" vertical="center" wrapText="0"/>
    </xf>
    <xf borderId="13" fillId="0" fontId="1" numFmtId="0" xfId="0" applyAlignment="1" applyBorder="1" applyFont="1">
      <alignment shrinkToFit="0" vertical="center" wrapText="0"/>
    </xf>
    <xf borderId="14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2" fontId="3" numFmtId="0" xfId="0" applyFont="1"/>
    <xf borderId="0" fillId="2" fontId="4" numFmtId="0" xfId="0" applyAlignment="1" applyFont="1">
      <alignment vertical="bottom"/>
    </xf>
    <xf borderId="0" fillId="2" fontId="4" numFmtId="0" xfId="0" applyAlignment="1" applyFont="1">
      <alignment horizontal="right" vertical="bottom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6" numFmtId="0" xfId="0" applyFont="1"/>
    <xf borderId="0" fillId="2" fontId="2" numFmtId="3" xfId="0" applyAlignment="1" applyFont="1" applyNumberFormat="1">
      <alignment readingOrder="0"/>
    </xf>
    <xf borderId="0" fillId="0" fontId="5" numFmtId="0" xfId="0" applyFont="1"/>
    <xf borderId="0" fillId="2" fontId="4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2" fontId="4" numFmtId="0" xfId="0" applyAlignment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2" fontId="3" numFmtId="0" xfId="0" applyFont="1"/>
    <xf borderId="0" fillId="0" fontId="5" numFmtId="0" xfId="0" applyFont="1"/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4">
    <tableStyle count="3" pivot="0" name="Task 1A-style">
      <tableStyleElement dxfId="1" type="headerRow"/>
      <tableStyleElement dxfId="2" type="firstRowStripe"/>
      <tableStyleElement dxfId="3" type="secondRowStripe"/>
    </tableStyle>
    <tableStyle count="3" pivot="0" name="Task 1B-style">
      <tableStyleElement dxfId="1" type="headerRow"/>
      <tableStyleElement dxfId="2" type="firstRowStripe"/>
      <tableStyleElement dxfId="3" type="secondRowStripe"/>
    </tableStyle>
    <tableStyle count="3" pivot="0" name="Task 1D -style">
      <tableStyleElement dxfId="1" type="headerRow"/>
      <tableStyleElement dxfId="2" type="firstRowStripe"/>
      <tableStyleElement dxfId="3" type="secondRowStripe"/>
    </tableStyle>
    <tableStyle count="3" pivot="0" name="Task 1D 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loop reordering + unrolling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no unrolling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'Task 1A'!$A$3:$A$8</c:f>
            </c:strRef>
          </c:cat>
          <c:val>
            <c:numRef>
              <c:f>'Task 1A'!$H$3:$H$8</c:f>
              <c:numCache/>
            </c:numRef>
          </c:val>
        </c:ser>
        <c:ser>
          <c:idx val="1"/>
          <c:order val="1"/>
          <c:tx>
            <c:v>unroll 4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1A'!$A$3:$A$8</c:f>
            </c:strRef>
          </c:cat>
          <c:val>
            <c:numRef>
              <c:f>'Task 1A'!$I$3:$I$8</c:f>
              <c:numCache/>
            </c:numRef>
          </c:val>
        </c:ser>
        <c:ser>
          <c:idx val="2"/>
          <c:order val="2"/>
          <c:tx>
            <c:v>unroll 8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1A'!$A$3:$A$8</c:f>
            </c:strRef>
          </c:cat>
          <c:val>
            <c:numRef>
              <c:f>'Task 1A'!$J$3:$J$8</c:f>
              <c:numCache/>
            </c:numRef>
          </c:val>
        </c:ser>
        <c:ser>
          <c:idx val="3"/>
          <c:order val="3"/>
          <c:tx>
            <c:v>unroll 16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'Task 1A'!$A$3:$A$8</c:f>
            </c:strRef>
          </c:cat>
          <c:val>
            <c:numRef>
              <c:f>'Task 1A'!$K$3:$K$8</c:f>
              <c:numCache/>
            </c:numRef>
          </c:val>
        </c:ser>
        <c:ser>
          <c:idx val="4"/>
          <c:order val="4"/>
          <c:tx>
            <c:v>unroll 32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'Task 1A'!$A$3:$A$8</c:f>
            </c:strRef>
          </c:cat>
          <c:val>
            <c:numRef>
              <c:f>'Task 1A'!$L$3:$L$8</c:f>
              <c:numCache/>
            </c:numRef>
          </c:val>
        </c:ser>
        <c:axId val="2114030049"/>
        <c:axId val="490324187"/>
      </c:barChart>
      <c:catAx>
        <c:axId val="2114030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Matrix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0324187"/>
      </c:catAx>
      <c:valAx>
        <c:axId val="4903241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normalized 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4030049"/>
      </c:valAx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Tiling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4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'Task 1B'!$A$13:$A$18</c:f>
            </c:strRef>
          </c:cat>
          <c:val>
            <c:numRef>
              <c:f>'Task 1B'!$H$13:$H$18</c:f>
              <c:numCache/>
            </c:numRef>
          </c:val>
        </c:ser>
        <c:ser>
          <c:idx val="1"/>
          <c:order val="1"/>
          <c:tx>
            <c:v>8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1B'!$A$13:$A$18</c:f>
            </c:strRef>
          </c:cat>
          <c:val>
            <c:numRef>
              <c:f>'Task 1B'!$I$13:$I$18</c:f>
              <c:numCache/>
            </c:numRef>
          </c:val>
        </c:ser>
        <c:ser>
          <c:idx val="2"/>
          <c:order val="2"/>
          <c:tx>
            <c:v>16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1B'!$A$13:$A$18</c:f>
            </c:strRef>
          </c:cat>
          <c:val>
            <c:numRef>
              <c:f>'Task 1B'!$J$13:$J$18</c:f>
              <c:numCache/>
            </c:numRef>
          </c:val>
        </c:ser>
        <c:ser>
          <c:idx val="3"/>
          <c:order val="3"/>
          <c:tx>
            <c:v>32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'Task 1B'!$A$13:$A$18</c:f>
            </c:strRef>
          </c:cat>
          <c:val>
            <c:numRef>
              <c:f>'Task 1B'!$K$13:$K$18</c:f>
              <c:numCache/>
            </c:numRef>
          </c:val>
        </c:ser>
        <c:ser>
          <c:idx val="4"/>
          <c:order val="4"/>
          <c:tx>
            <c:v>64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'Task 1B'!$A$13:$A$18</c:f>
            </c:strRef>
          </c:cat>
          <c:val>
            <c:numRef>
              <c:f>'Task 1B'!$L$13:$L$18</c:f>
              <c:numCache/>
            </c:numRef>
          </c:val>
        </c:ser>
        <c:axId val="108137292"/>
        <c:axId val="1798792802"/>
      </c:barChart>
      <c:catAx>
        <c:axId val="1081372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Matrix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8792802"/>
      </c:catAx>
      <c:valAx>
        <c:axId val="17987928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Normalized Sppedup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137292"/>
      </c:valAx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MPKI vs. Matrix Size for tiling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v>4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1B'!$A$25:$A$30</c:f>
            </c:strRef>
          </c:cat>
          <c:val>
            <c:numRef>
              <c:f>'Task 1B'!$D$36:$D$41</c:f>
              <c:numCache/>
            </c:numRef>
          </c:val>
        </c:ser>
        <c:ser>
          <c:idx val="2"/>
          <c:order val="2"/>
          <c:tx>
            <c:v>8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1B'!$A$25:$A$30</c:f>
            </c:strRef>
          </c:cat>
          <c:val>
            <c:numRef>
              <c:f>'Task 1B'!$D$47:$D$52</c:f>
              <c:numCache/>
            </c:numRef>
          </c:val>
        </c:ser>
        <c:ser>
          <c:idx val="3"/>
          <c:order val="3"/>
          <c:tx>
            <c:v>16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'Task 1B'!$A$25:$A$30</c:f>
            </c:strRef>
          </c:cat>
          <c:val>
            <c:numRef>
              <c:f>'Task 1B'!$D$58:$D$63</c:f>
              <c:numCache/>
            </c:numRef>
          </c:val>
        </c:ser>
        <c:ser>
          <c:idx val="4"/>
          <c:order val="4"/>
          <c:tx>
            <c:v>32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'Task 1B'!$A$25:$A$30</c:f>
            </c:strRef>
          </c:cat>
          <c:val>
            <c:numRef>
              <c:f>'Task 1B'!$D$68:$D$73</c:f>
              <c:numCache/>
            </c:numRef>
          </c:val>
        </c:ser>
        <c:ser>
          <c:idx val="5"/>
          <c:order val="5"/>
          <c:tx>
            <c:v>64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'Task 1B'!$A$25:$A$30</c:f>
            </c:strRef>
          </c:cat>
          <c:val>
            <c:numRef>
              <c:f>'Task 1B'!$D$78:$D$83</c:f>
              <c:numCache/>
            </c:numRef>
          </c:val>
        </c:ser>
        <c:axId val="176430844"/>
        <c:axId val="1625755712"/>
      </c:barChart>
      <c:lineChart>
        <c:varyColors val="0"/>
        <c:ser>
          <c:idx val="0"/>
          <c:order val="0"/>
          <c:tx>
            <c:v>naive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'Task 1B'!$A$25:$A$30</c:f>
            </c:strRef>
          </c:cat>
          <c:val>
            <c:numRef>
              <c:f>'Task 1B'!$D$25:$D$30</c:f>
              <c:numCache/>
            </c:numRef>
          </c:val>
          <c:smooth val="0"/>
        </c:ser>
        <c:axId val="176430844"/>
        <c:axId val="1625755712"/>
      </c:lineChart>
      <c:catAx>
        <c:axId val="1764308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5755712"/>
      </c:catAx>
      <c:valAx>
        <c:axId val="16257557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MPKI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4308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SIMD Speedup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128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'Task 1C'!$F$16:$F$20</c:f>
            </c:strRef>
          </c:cat>
          <c:val>
            <c:numRef>
              <c:f>'Task 1C'!$H$16:$H$20</c:f>
              <c:numCache/>
            </c:numRef>
          </c:val>
        </c:ser>
        <c:ser>
          <c:idx val="1"/>
          <c:order val="1"/>
          <c:tx>
            <c:v>256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1C'!$F$16:$F$20</c:f>
            </c:strRef>
          </c:cat>
          <c:val>
            <c:numRef>
              <c:f>'Task 1C'!$H$27:$H$31</c:f>
              <c:numCache/>
            </c:numRef>
          </c:val>
        </c:ser>
        <c:ser>
          <c:idx val="2"/>
          <c:order val="2"/>
          <c:tx>
            <c:v>512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1C'!$F$16:$F$20</c:f>
            </c:strRef>
          </c:cat>
          <c:val>
            <c:numRef>
              <c:f>'Task 1C'!$H$39:$H$43</c:f>
              <c:numCache/>
            </c:numRef>
          </c:val>
        </c:ser>
        <c:axId val="784819092"/>
        <c:axId val="119950691"/>
      </c:barChart>
      <c:catAx>
        <c:axId val="7848190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950691"/>
      </c:catAx>
      <c:valAx>
        <c:axId val="1199506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48190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#instructions for simd</a:t>
            </a:r>
          </a:p>
        </c:rich>
      </c:tx>
      <c:overlay val="0"/>
    </c:title>
    <c:plotArea>
      <c:layout/>
      <c:lineChart>
        <c:ser>
          <c:idx val="0"/>
          <c:order val="0"/>
          <c:tx>
            <c:v>naive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'Task 1C'!$A$2:$A$10</c:f>
            </c:strRef>
          </c:cat>
          <c:val>
            <c:numRef>
              <c:f>'Task 1C'!$B$2:$B$10</c:f>
              <c:numCache/>
            </c:numRef>
          </c:val>
          <c:smooth val="0"/>
        </c:ser>
        <c:ser>
          <c:idx val="1"/>
          <c:order val="1"/>
          <c:tx>
            <c:v>512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'Task 1C'!$A$2:$A$10</c:f>
            </c:strRef>
          </c:cat>
          <c:val>
            <c:numRef>
              <c:f>'Task 1C'!$B$12:$B$20</c:f>
              <c:numCache/>
            </c:numRef>
          </c:val>
          <c:smooth val="0"/>
        </c:ser>
        <c:ser>
          <c:idx val="2"/>
          <c:order val="2"/>
          <c:tx>
            <c:v>256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'Task 1C'!$A$2:$A$10</c:f>
            </c:strRef>
          </c:cat>
          <c:val>
            <c:numRef>
              <c:f>'Task 1C'!$B$24:$B$32</c:f>
              <c:numCache/>
            </c:numRef>
          </c:val>
          <c:smooth val="0"/>
        </c:ser>
        <c:ser>
          <c:idx val="3"/>
          <c:order val="3"/>
          <c:tx>
            <c:v>128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'Task 1C'!$A$2:$A$10</c:f>
            </c:strRef>
          </c:cat>
          <c:val>
            <c:numRef>
              <c:f>'Task 1C'!$B$35:$B$43</c:f>
              <c:numCache/>
            </c:numRef>
          </c:val>
          <c:smooth val="0"/>
        </c:ser>
        <c:axId val="1061024604"/>
        <c:axId val="977991584"/>
      </c:lineChart>
      <c:catAx>
        <c:axId val="10610246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Matrix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7991584"/>
      </c:catAx>
      <c:valAx>
        <c:axId val="977991584"/>
        <c:scaling>
          <c:orientation val="minMax"/>
          <c:max val="5.0E1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#instr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1024604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MPKI for SIMD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v>512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1C'!$A$2:$A$10</c:f>
            </c:strRef>
          </c:cat>
          <c:val>
            <c:numRef>
              <c:f>'Task 1C'!$D$12:$D$20</c:f>
              <c:numCache/>
            </c:numRef>
          </c:val>
        </c:ser>
        <c:ser>
          <c:idx val="2"/>
          <c:order val="2"/>
          <c:tx>
            <c:v>256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1C'!$A$2:$A$10</c:f>
            </c:strRef>
          </c:cat>
          <c:val>
            <c:numRef>
              <c:f>'Task 1C'!$D$24:$D$32</c:f>
              <c:numCache/>
            </c:numRef>
          </c:val>
        </c:ser>
        <c:ser>
          <c:idx val="3"/>
          <c:order val="3"/>
          <c:tx>
            <c:v>128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'Task 1C'!$A$2:$A$10</c:f>
            </c:strRef>
          </c:cat>
          <c:val>
            <c:numRef>
              <c:f>'Task 1C'!$D$35:$D$43</c:f>
              <c:numCache/>
            </c:numRef>
          </c:val>
        </c:ser>
        <c:axId val="938951116"/>
        <c:axId val="1877627050"/>
      </c:barChart>
      <c:lineChart>
        <c:varyColors val="0"/>
        <c:ser>
          <c:idx val="0"/>
          <c:order val="0"/>
          <c:tx>
            <c:v>naive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'Task 1C'!$A$2:$A$10</c:f>
            </c:strRef>
          </c:cat>
          <c:val>
            <c:numRef>
              <c:f>'Task 1C'!$D$2:$D$10</c:f>
              <c:numCache/>
            </c:numRef>
          </c:val>
          <c:smooth val="0"/>
        </c:ser>
        <c:axId val="938951116"/>
        <c:axId val="1877627050"/>
      </c:lineChart>
      <c:catAx>
        <c:axId val="9389511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Matrix sizes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7627050"/>
      </c:catAx>
      <c:valAx>
        <c:axId val="1877627050"/>
        <c:scaling>
          <c:orientation val="minMax"/>
          <c:max val="5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MPKI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89511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Combination</a:t>
            </a:r>
          </a:p>
        </c:rich>
      </c:tx>
      <c:overlay val="0"/>
    </c:title>
    <c:plotArea>
      <c:layout/>
      <c:areaChart>
        <c:ser>
          <c:idx val="10"/>
          <c:order val="10"/>
          <c:tx>
            <c:strRef>
              <c:f>'Task 1D '!$AG$1</c:f>
            </c:strRef>
          </c:tx>
          <c:spPr>
            <a:solidFill>
              <a:srgbClr val="FF994D">
                <a:alpha val="30000"/>
              </a:srgbClr>
            </a:solidFill>
            <a:ln cmpd="sng">
              <a:solidFill>
                <a:srgbClr val="FF994D"/>
              </a:solidFill>
            </a:ln>
          </c:spPr>
          <c:cat>
            <c:strRef>
              <c:f>'Task 1D '!$A$2:$A$7</c:f>
            </c:strRef>
          </c:cat>
          <c:val>
            <c:numRef>
              <c:f>'Task 1D '!$AG$2:$AG$7</c:f>
              <c:numCache/>
            </c:numRef>
          </c:val>
        </c:ser>
        <c:ser>
          <c:idx val="11"/>
          <c:order val="11"/>
          <c:tx>
            <c:strRef>
              <c:f>'Task 1D '!$AH$1</c:f>
            </c:strRef>
          </c:tx>
          <c:spPr>
            <a:solidFill>
              <a:srgbClr val="7ED1D7">
                <a:alpha val="30000"/>
              </a:srgbClr>
            </a:solidFill>
            <a:ln cmpd="sng">
              <a:solidFill>
                <a:srgbClr val="7ED1D7"/>
              </a:solidFill>
            </a:ln>
          </c:spPr>
          <c:cat>
            <c:strRef>
              <c:f>'Task 1D '!$A$2:$A$7</c:f>
            </c:strRef>
          </c:cat>
          <c:val>
            <c:numRef>
              <c:f>'Task 1D '!$AH$2:$AH$7</c:f>
              <c:numCache/>
            </c:numRef>
          </c:val>
        </c:ser>
        <c:axId val="2006959579"/>
        <c:axId val="1082563924"/>
      </c:areaChart>
      <c:barChart>
        <c:barDir val="col"/>
        <c:ser>
          <c:idx val="3"/>
          <c:order val="3"/>
          <c:tx>
            <c:v>simd256 + tile8 (1)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'Task 1D '!$A$2:$A$7</c:f>
            </c:strRef>
          </c:cat>
          <c:val>
            <c:numRef>
              <c:f>'Task 1D '!$Z$2:$Z$7</c:f>
              <c:numCache/>
            </c:numRef>
          </c:val>
        </c:ser>
        <c:ser>
          <c:idx val="4"/>
          <c:order val="4"/>
          <c:tx>
            <c:strRef>
              <c:f>'Task 1D '!$AB$1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'Task 1D '!$A$2:$A$7</c:f>
            </c:strRef>
          </c:cat>
          <c:val>
            <c:numRef>
              <c:f>'Task 1D '!$AB$2:$AB$7</c:f>
              <c:numCache/>
            </c:numRef>
          </c:val>
        </c:ser>
        <c:ser>
          <c:idx val="5"/>
          <c:order val="5"/>
          <c:tx>
            <c:strRef>
              <c:f>'Task 1D '!$AF$1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'Task 1D '!$A$2:$A$7</c:f>
            </c:strRef>
          </c:cat>
          <c:val>
            <c:numRef>
              <c:f>'Task 1D '!$AF$2:$AF$7</c:f>
              <c:numCache/>
            </c:numRef>
          </c:val>
        </c:ser>
        <c:ser>
          <c:idx val="6"/>
          <c:order val="6"/>
          <c:tx>
            <c:strRef>
              <c:f>'Task 1D '!$X$1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'Task 1D '!$A$2:$A$7</c:f>
            </c:strRef>
          </c:cat>
          <c:val>
            <c:numRef>
              <c:f>'Task 1D '!$X$2:$X$7</c:f>
              <c:numCache/>
            </c:numRef>
          </c:val>
        </c:ser>
        <c:ser>
          <c:idx val="7"/>
          <c:order val="7"/>
          <c:tx>
            <c:strRef>
              <c:f>'Task 1D '!$AC$1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'Task 1D '!$A$2:$A$7</c:f>
            </c:strRef>
          </c:cat>
          <c:val>
            <c:numRef>
              <c:f>'Task 1D '!$AC$2:$AC$7</c:f>
              <c:numCache/>
            </c:numRef>
          </c:val>
        </c:ser>
        <c:ser>
          <c:idx val="8"/>
          <c:order val="8"/>
          <c:tx>
            <c:strRef>
              <c:f>'Task 1D '!$AD$1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'Task 1D '!$A$2:$A$7</c:f>
            </c:strRef>
          </c:cat>
          <c:val>
            <c:numRef>
              <c:f>'Task 1D '!$AD$2:$AD$7</c:f>
              <c:numCache/>
            </c:numRef>
          </c:val>
        </c:ser>
        <c:ser>
          <c:idx val="9"/>
          <c:order val="9"/>
          <c:tx>
            <c:strRef>
              <c:f>'Task 1D '!$AE$1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'Task 1D '!$A$2:$A$7</c:f>
            </c:strRef>
          </c:cat>
          <c:val>
            <c:numRef>
              <c:f>'Task 1D '!$AE$2:$AE$7</c:f>
              <c:numCache/>
            </c:numRef>
          </c:val>
        </c:ser>
        <c:axId val="2006959579"/>
        <c:axId val="1082563924"/>
      </c:barChart>
      <c:lineChart>
        <c:ser>
          <c:idx val="0"/>
          <c:order val="0"/>
          <c:tx>
            <c:strRef>
              <c:f>'Task 1D '!$T$1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'Task 1D '!$A$2:$A$7</c:f>
            </c:strRef>
          </c:cat>
          <c:val>
            <c:numRef>
              <c:f>'Task 1D '!$T$2:$T$7</c:f>
              <c:numCache/>
            </c:numRef>
          </c:val>
          <c:smooth val="0"/>
        </c:ser>
        <c:ser>
          <c:idx val="1"/>
          <c:order val="1"/>
          <c:tx>
            <c:strRef>
              <c:f>'Task 1D '!$V$1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'Task 1D '!$A$2:$A$7</c:f>
            </c:strRef>
          </c:cat>
          <c:val>
            <c:numRef>
              <c:f>'Task 1D '!$V$2:$V$7</c:f>
              <c:numCache/>
            </c:numRef>
          </c:val>
          <c:smooth val="0"/>
        </c:ser>
        <c:ser>
          <c:idx val="2"/>
          <c:order val="2"/>
          <c:tx>
            <c:strRef>
              <c:f>'Task 1D '!$W$1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'Task 1D '!$A$2:$A$7</c:f>
            </c:strRef>
          </c:cat>
          <c:val>
            <c:numRef>
              <c:f>'Task 1D '!$W$2:$W$7</c:f>
              <c:numCache/>
            </c:numRef>
          </c:val>
          <c:smooth val="0"/>
        </c:ser>
        <c:ser>
          <c:idx val="12"/>
          <c:order val="12"/>
          <c:tx>
            <c:strRef>
              <c:f>'Task 1D '!$AJ$1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circle"/>
            <c:size val="10"/>
            <c:spPr>
              <a:solidFill>
                <a:srgbClr val="B3CEFB"/>
              </a:solidFill>
              <a:ln cmpd="sng">
                <a:solidFill>
                  <a:srgbClr val="B3CEFB"/>
                </a:solidFill>
              </a:ln>
            </c:spPr>
          </c:marker>
          <c:cat>
            <c:strRef>
              <c:f>'Task 1D '!$A$2:$A$7</c:f>
            </c:strRef>
          </c:cat>
          <c:val>
            <c:numRef>
              <c:f>'Task 1D '!$AJ$2:$AJ$6</c:f>
              <c:numCache/>
            </c:numRef>
          </c:val>
          <c:smooth val="0"/>
        </c:ser>
        <c:ser>
          <c:idx val="13"/>
          <c:order val="13"/>
          <c:tx>
            <c:strRef>
              <c:f>'Task 1D '!$AK$1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'Task 1D '!$A$2:$A$7</c:f>
            </c:strRef>
          </c:cat>
          <c:val>
            <c:numRef>
              <c:f>'Task 1D '!$AK$2:$AK$7</c:f>
              <c:numCache/>
            </c:numRef>
          </c:val>
          <c:smooth val="0"/>
        </c:ser>
        <c:ser>
          <c:idx val="14"/>
          <c:order val="14"/>
          <c:tx>
            <c:strRef>
              <c:f>'Task 1D '!$AI$1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'Task 1D '!$A$2:$A$7</c:f>
            </c:strRef>
          </c:cat>
          <c:val>
            <c:numRef>
              <c:f>'Task 1D '!$AI$2:$AI$6</c:f>
              <c:numCache/>
            </c:numRef>
          </c:val>
          <c:smooth val="0"/>
        </c:ser>
        <c:axId val="2006959579"/>
        <c:axId val="1082563924"/>
      </c:lineChart>
      <c:catAx>
        <c:axId val="20069595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Matrix sizes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1082563924"/>
      </c:catAx>
      <c:valAx>
        <c:axId val="10825639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6959579"/>
      </c:valAx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Narrow"/>
              </a:defRPr>
            </a:pPr>
            <a:r>
              <a:rPr b="0">
                <a:solidFill>
                  <a:srgbClr val="757575"/>
                </a:solidFill>
                <a:latin typeface="Arial Narrow"/>
              </a:rPr>
              <a:t>Transpose optimization in NN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'Task 1E'!$W$9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'Task 1E'!$U$10:$U$14</c:f>
            </c:strRef>
          </c:cat>
          <c:val>
            <c:numRef>
              <c:f>'Task 1E'!$W$10:$W$14</c:f>
              <c:numCache/>
            </c:numRef>
          </c:val>
        </c:ser>
        <c:ser>
          <c:idx val="1"/>
          <c:order val="1"/>
          <c:tx>
            <c:strRef>
              <c:f>'Task 1E'!$V$9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'Task 1E'!$U$10:$U$14</c:f>
            </c:strRef>
          </c:cat>
          <c:val>
            <c:numRef>
              <c:f>'Task 1E'!$V$10:$V$14</c:f>
              <c:numCache/>
            </c:numRef>
          </c:val>
        </c:ser>
        <c:axId val="72187142"/>
        <c:axId val="1228913979"/>
      </c:barChart>
      <c:catAx>
        <c:axId val="721871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1">
                    <a:solidFill>
                      <a:srgbClr val="000000"/>
                    </a:solidFill>
                    <a:latin typeface="Arial Narrow"/>
                  </a:rPr>
                  <a:t>Matrix Muliplication optimization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1228913979"/>
      </c:catAx>
      <c:valAx>
        <c:axId val="12289139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1">
                    <a:solidFill>
                      <a:srgbClr val="000000"/>
                    </a:solidFill>
                    <a:latin typeface="Arial Narrow"/>
                  </a:rPr>
                  <a:t>Execution time (in 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721871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Narrow"/>
              </a:defRPr>
            </a:pPr>
            <a:r>
              <a:rPr b="0">
                <a:solidFill>
                  <a:srgbClr val="757575"/>
                </a:solidFill>
                <a:latin typeface="Arial Narrow"/>
              </a:rPr>
              <a:t>Loop unrolling performance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'Task 1E'!$A$9:$A$12</c:f>
            </c:strRef>
          </c:cat>
          <c:val>
            <c:numRef>
              <c:f>'Task 1E'!$B$9:$B$12</c:f>
              <c:numCache/>
            </c:numRef>
          </c:val>
        </c:ser>
        <c:axId val="465965856"/>
        <c:axId val="2015529359"/>
      </c:barChart>
      <c:catAx>
        <c:axId val="46596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2015529359"/>
      </c:catAx>
      <c:valAx>
        <c:axId val="2015529359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4659658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Narrow"/>
              </a:defRPr>
            </a:pPr>
            <a:r>
              <a:rPr b="0">
                <a:solidFill>
                  <a:srgbClr val="757575"/>
                </a:solidFill>
                <a:latin typeface="Arial Narrow"/>
              </a:rPr>
              <a:t>Tiling performance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535FC1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chemeClr val="dk1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'Task 1E'!$H$9:$H$16</c:f>
            </c:strRef>
          </c:cat>
          <c:val>
            <c:numRef>
              <c:f>'Task 1E'!$I$9:$I$16</c:f>
              <c:numCache/>
            </c:numRef>
          </c:val>
        </c:ser>
        <c:axId val="67355944"/>
        <c:axId val="1495861111"/>
      </c:barChart>
      <c:catAx>
        <c:axId val="67355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1">
                    <a:solidFill>
                      <a:srgbClr val="000000"/>
                    </a:solidFill>
                    <a:latin typeface="Arial Narrow"/>
                  </a:rPr>
                  <a:t>Tile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1495861111"/>
      </c:catAx>
      <c:valAx>
        <c:axId val="14958611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1">
                    <a:solidFill>
                      <a:srgbClr val="000000"/>
                    </a:solidFill>
                    <a:latin typeface="Arial Narrow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673559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Narrow"/>
              </a:defRPr>
            </a:pPr>
            <a:r>
              <a:rPr b="0">
                <a:solidFill>
                  <a:srgbClr val="757575"/>
                </a:solidFill>
                <a:latin typeface="Arial Narrow"/>
              </a:rPr>
              <a:t>Matrix Multiplication performance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'Task 1E'!$N$9:$N$12</c:f>
            </c:strRef>
          </c:cat>
          <c:val>
            <c:numRef>
              <c:f>'Task 1E'!$O$9:$O$12</c:f>
              <c:numCache/>
            </c:numRef>
          </c:val>
        </c:ser>
        <c:axId val="2092006629"/>
        <c:axId val="1519178438"/>
      </c:barChart>
      <c:catAx>
        <c:axId val="20920066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1519178438"/>
      </c:catAx>
      <c:valAx>
        <c:axId val="15191784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1">
                    <a:solidFill>
                      <a:srgbClr val="000000"/>
                    </a:solidFill>
                    <a:latin typeface="Arial Narrow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20920066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speedup vs. size,pf_dist for cache fill level T1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128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'Task 2A speedup'!$G$4:$G$43</c:f>
            </c:strRef>
          </c:cat>
          <c:val>
            <c:numRef>
              <c:f>'Task 2A speedup'!$F$4:$F$43</c:f>
              <c:numCache/>
            </c:numRef>
          </c:val>
        </c:ser>
        <c:ser>
          <c:idx val="1"/>
          <c:order val="1"/>
          <c:tx>
            <c:v>256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2A speedup'!$G$4:$G$43</c:f>
            </c:strRef>
          </c:cat>
          <c:val>
            <c:numRef>
              <c:f>'Task 2A speedup'!$F$45:$F$84</c:f>
              <c:numCache/>
            </c:numRef>
          </c:val>
        </c:ser>
        <c:ser>
          <c:idx val="2"/>
          <c:order val="2"/>
          <c:tx>
            <c:v>512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2A speedup'!$G$4:$G$43</c:f>
            </c:strRef>
          </c:cat>
          <c:val>
            <c:numRef>
              <c:f>'Task 2A speedup'!$F$86:$F$125</c:f>
              <c:numCache/>
            </c:numRef>
          </c:val>
        </c:ser>
        <c:axId val="585807096"/>
        <c:axId val="1199558175"/>
      </c:barChart>
      <c:catAx>
        <c:axId val="585807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199558175"/>
      </c:catAx>
      <c:valAx>
        <c:axId val="11995581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5807096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Speedup vs size, pd_dist fro cache fill level T0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128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'Task 2A speedup'!$T$3:$T$42</c:f>
            </c:strRef>
          </c:cat>
          <c:val>
            <c:numRef>
              <c:f>'Task 2A speedup'!$S$3:$S$42</c:f>
              <c:numCache/>
            </c:numRef>
          </c:val>
        </c:ser>
        <c:ser>
          <c:idx val="1"/>
          <c:order val="1"/>
          <c:tx>
            <c:v>256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2A speedup'!$T$3:$T$42</c:f>
            </c:strRef>
          </c:cat>
          <c:val>
            <c:numRef>
              <c:f>'Task 2A speedup'!$S$45:$S$84</c:f>
              <c:numCache/>
            </c:numRef>
          </c:val>
        </c:ser>
        <c:ser>
          <c:idx val="2"/>
          <c:order val="2"/>
          <c:tx>
            <c:v>512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2A speedup'!$T$3:$T$42</c:f>
            </c:strRef>
          </c:cat>
          <c:val>
            <c:numRef>
              <c:f>'Task 2A speedup'!$S$86:$S$125</c:f>
              <c:numCache/>
            </c:numRef>
          </c:val>
        </c:ser>
        <c:axId val="358450830"/>
        <c:axId val="512600657"/>
      </c:barChart>
      <c:catAx>
        <c:axId val="3584508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2600657"/>
      </c:catAx>
      <c:valAx>
        <c:axId val="5126006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8450830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Speedup vs size, pf_dist for cache fill level T2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128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'Task 2A speedup'!$AD$5:$AD$44</c:f>
            </c:strRef>
          </c:cat>
          <c:val>
            <c:numRef>
              <c:f>'Task 2A speedup'!$AC$5:$AC$44</c:f>
              <c:numCache/>
            </c:numRef>
          </c:val>
        </c:ser>
        <c:ser>
          <c:idx val="1"/>
          <c:order val="1"/>
          <c:tx>
            <c:v>256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2A speedup'!$AD$5:$AD$44</c:f>
            </c:strRef>
          </c:cat>
          <c:val>
            <c:numRef>
              <c:f>'Task 2A speedup'!$AC$46:$AC$85</c:f>
              <c:numCache/>
            </c:numRef>
          </c:val>
        </c:ser>
        <c:ser>
          <c:idx val="2"/>
          <c:order val="2"/>
          <c:tx>
            <c:v>512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2A speedup'!$AD$5:$AD$44</c:f>
            </c:strRef>
          </c:cat>
          <c:val>
            <c:numRef>
              <c:f>'Task 2A speedup'!$AC$88:$AC$127</c:f>
              <c:numCache/>
            </c:numRef>
          </c:val>
        </c:ser>
        <c:axId val="1619472013"/>
        <c:axId val="1889392500"/>
      </c:barChart>
      <c:catAx>
        <c:axId val="16194720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Size, pfdist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</a:p>
        </c:txPr>
        <c:crossAx val="1889392500"/>
      </c:catAx>
      <c:valAx>
        <c:axId val="18893925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9472013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L1Dmisses vs size,pf_dist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v>T2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misses'!$E$78:$E$101</c:f>
              <c:numCache/>
            </c:numRef>
          </c:val>
        </c:ser>
        <c:ser>
          <c:idx val="2"/>
          <c:order val="2"/>
          <c:tx>
            <c:v>T1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misses'!$E$160:$E$183</c:f>
              <c:numCache/>
            </c:numRef>
          </c:val>
        </c:ser>
        <c:ser>
          <c:idx val="3"/>
          <c:order val="3"/>
          <c:tx>
            <c:v>T0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misses'!$E$242:$E$265</c:f>
              <c:numCache/>
            </c:numRef>
          </c:val>
        </c:ser>
        <c:axId val="1448467333"/>
        <c:axId val="2011840464"/>
      </c:barChart>
      <c:lineChart>
        <c:varyColors val="0"/>
        <c:ser>
          <c:idx val="0"/>
          <c:order val="0"/>
          <c:tx>
            <c:v>no prefetch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'Task 2A misses'!$J$2:$J$25</c:f>
            </c:strRef>
          </c:cat>
          <c:val>
            <c:numRef>
              <c:f>'Task 2A misses'!$E$2:$E$25</c:f>
              <c:numCache/>
            </c:numRef>
          </c:val>
          <c:smooth val="0"/>
        </c:ser>
        <c:axId val="1448467333"/>
        <c:axId val="2011840464"/>
      </c:lineChart>
      <c:catAx>
        <c:axId val="14484673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1840464"/>
      </c:catAx>
      <c:valAx>
        <c:axId val="2011840464"/>
        <c:scaling>
          <c:orientation val="minMax"/>
          <c:max val="2.0E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8467333"/>
      </c:valAx>
    </c:plotArea>
    <c:legend>
      <c:legendPos val="r"/>
      <c:layout>
        <c:manualLayout>
          <c:xMode val="edge"/>
          <c:yMode val="edge"/>
          <c:x val="0.47836593785960874"/>
          <c:y val="0.11117021276595745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757575"/>
                </a:solidFill>
                <a:latin typeface="+mn-lt"/>
              </a:defRPr>
            </a:pPr>
            <a:r>
              <a:rPr b="0" sz="2000">
                <a:solidFill>
                  <a:srgbClr val="757575"/>
                </a:solidFill>
                <a:latin typeface="+mn-lt"/>
              </a:rPr>
              <a:t>Speedup vs size,pf_dist for software prefetching 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T2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misses'!$K$78:$K$101</c:f>
              <c:numCache/>
            </c:numRef>
          </c:val>
        </c:ser>
        <c:ser>
          <c:idx val="1"/>
          <c:order val="1"/>
          <c:tx>
            <c:v>T1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misses'!$K$160:$K$183</c:f>
              <c:numCache/>
            </c:numRef>
          </c:val>
        </c:ser>
        <c:ser>
          <c:idx val="2"/>
          <c:order val="2"/>
          <c:tx>
            <c:v>T0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misses'!$K$242:$K$265</c:f>
              <c:numCache/>
            </c:numRef>
          </c:val>
        </c:ser>
        <c:axId val="617748949"/>
        <c:axId val="1934005118"/>
      </c:barChart>
      <c:catAx>
        <c:axId val="6177489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934005118"/>
      </c:catAx>
      <c:valAx>
        <c:axId val="19340051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7748949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L2 misses vs size,pf_dist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v>T2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misses'!$F$78:$F$101</c:f>
              <c:numCache/>
            </c:numRef>
          </c:val>
        </c:ser>
        <c:ser>
          <c:idx val="2"/>
          <c:order val="2"/>
          <c:tx>
            <c:v>T1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misses'!$F$160:$F$183</c:f>
              <c:numCache/>
            </c:numRef>
          </c:val>
        </c:ser>
        <c:ser>
          <c:idx val="3"/>
          <c:order val="3"/>
          <c:tx>
            <c:v>T0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misses'!$F$242:$F$265</c:f>
              <c:numCache/>
            </c:numRef>
          </c:val>
        </c:ser>
        <c:axId val="321255357"/>
        <c:axId val="1432524703"/>
      </c:barChart>
      <c:lineChart>
        <c:varyColors val="0"/>
        <c:ser>
          <c:idx val="0"/>
          <c:order val="0"/>
          <c:tx>
            <c:v>no prefetch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'Task 2A misses'!$J$2:$J$25</c:f>
            </c:strRef>
          </c:cat>
          <c:val>
            <c:numRef>
              <c:f>'Task 2A misses'!$F$2:$F$25</c:f>
              <c:numCache/>
            </c:numRef>
          </c:val>
          <c:smooth val="0"/>
        </c:ser>
        <c:axId val="321255357"/>
        <c:axId val="1432524703"/>
      </c:lineChart>
      <c:catAx>
        <c:axId val="3212553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2524703"/>
      </c:catAx>
      <c:valAx>
        <c:axId val="1432524703"/>
        <c:scaling>
          <c:orientation val="minMax"/>
          <c:max val="20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12553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LLC misses vs size,pf_dist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v>T2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misses'!$G$78:$G$101</c:f>
              <c:numCache/>
            </c:numRef>
          </c:val>
        </c:ser>
        <c:ser>
          <c:idx val="2"/>
          <c:order val="2"/>
          <c:tx>
            <c:v>T1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misses'!$G$160:$G$183</c:f>
              <c:numCache/>
            </c:numRef>
          </c:val>
        </c:ser>
        <c:ser>
          <c:idx val="3"/>
          <c:order val="3"/>
          <c:tx>
            <c:v>T0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misses'!$G$242:$G$265</c:f>
              <c:numCache/>
            </c:numRef>
          </c:val>
        </c:ser>
        <c:axId val="110652835"/>
        <c:axId val="654230831"/>
      </c:barChart>
      <c:lineChart>
        <c:varyColors val="0"/>
        <c:ser>
          <c:idx val="0"/>
          <c:order val="0"/>
          <c:tx>
            <c:v>no prefetch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'Task 2A misses'!$J$2:$J$25</c:f>
            </c:strRef>
          </c:cat>
          <c:val>
            <c:numRef>
              <c:f>'Task 2A misses'!$G$2:$G$25</c:f>
              <c:numCache/>
            </c:numRef>
          </c:val>
          <c:smooth val="0"/>
        </c:ser>
        <c:axId val="110652835"/>
        <c:axId val="654230831"/>
      </c:lineChart>
      <c:catAx>
        <c:axId val="1106528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4230831"/>
      </c:catAx>
      <c:valAx>
        <c:axId val="654230831"/>
        <c:scaling>
          <c:orientation val="minMax"/>
          <c:max val="5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6528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sw prefetch access vs size,pf_dist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v>T2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misses'!$H$78:$H$101</c:f>
              <c:numCache/>
            </c:numRef>
          </c:val>
        </c:ser>
        <c:ser>
          <c:idx val="2"/>
          <c:order val="2"/>
          <c:tx>
            <c:v>T1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misses'!$H$160:$H$183</c:f>
              <c:numCache/>
            </c:numRef>
          </c:val>
        </c:ser>
        <c:ser>
          <c:idx val="3"/>
          <c:order val="3"/>
          <c:tx>
            <c:v>T0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'Task 2A misses'!$J$2:$J$25</c:f>
            </c:strRef>
          </c:cat>
          <c:val>
            <c:numRef>
              <c:f>'Task 2A misses'!$H$242:$H$265</c:f>
              <c:numCache/>
            </c:numRef>
          </c:val>
        </c:ser>
        <c:axId val="107520911"/>
        <c:axId val="1920669983"/>
      </c:barChart>
      <c:lineChart>
        <c:varyColors val="0"/>
        <c:ser>
          <c:idx val="0"/>
          <c:order val="0"/>
          <c:tx>
            <c:v>no prefetch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'Task 2A misses'!$J$2:$J$25</c:f>
            </c:strRef>
          </c:cat>
          <c:val>
            <c:numRef>
              <c:f>'Task 2A misses'!$H$2:$H$25</c:f>
              <c:numCache/>
            </c:numRef>
          </c:val>
          <c:smooth val="0"/>
        </c:ser>
        <c:axId val="107520911"/>
        <c:axId val="1920669983"/>
      </c:lineChart>
      <c:catAx>
        <c:axId val="107520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0669983"/>
      </c:catAx>
      <c:valAx>
        <c:axId val="1920669983"/>
        <c:scaling>
          <c:orientation val="minMax"/>
          <c:max val="5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5209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757575"/>
                </a:solidFill>
                <a:latin typeface="Arial Narrow"/>
              </a:defRPr>
            </a:pPr>
            <a:r>
              <a:rPr b="0" sz="2000">
                <a:solidFill>
                  <a:srgbClr val="757575"/>
                </a:solidFill>
                <a:latin typeface="Arial Narrow"/>
              </a:rPr>
              <a:t>Speedup for different SIMD widths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'Task 2B'!$F$30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'Task 2B'!$E$31:$E$54</c:f>
            </c:strRef>
          </c:cat>
          <c:val>
            <c:numRef>
              <c:f>'Task 2B'!$F$31:$F$54</c:f>
              <c:numCache/>
            </c:numRef>
          </c:val>
        </c:ser>
        <c:ser>
          <c:idx val="1"/>
          <c:order val="1"/>
          <c:tx>
            <c:strRef>
              <c:f>'Task 2B'!$F$58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2B'!$E$31:$E$54</c:f>
            </c:strRef>
          </c:cat>
          <c:val>
            <c:numRef>
              <c:f>'Task 2B'!$F$59:$F$82</c:f>
              <c:numCache/>
            </c:numRef>
          </c:val>
        </c:ser>
        <c:ser>
          <c:idx val="2"/>
          <c:order val="2"/>
          <c:tx>
            <c:strRef>
              <c:f>'Task 2B'!$F$85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2B'!$E$31:$E$54</c:f>
            </c:strRef>
          </c:cat>
          <c:val>
            <c:numRef>
              <c:f>'Task 2B'!$F$86:$F$109</c:f>
              <c:numCache/>
            </c:numRef>
          </c:val>
        </c:ser>
        <c:axId val="1066609352"/>
        <c:axId val="90174624"/>
      </c:barChart>
      <c:catAx>
        <c:axId val="1066609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sz="1600">
                    <a:solidFill>
                      <a:srgbClr val="000000"/>
                    </a:solidFill>
                    <a:latin typeface="Arial Narrow"/>
                  </a:rPr>
                  <a:t>(embedding size, dimension)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Arial Narrow"/>
              </a:defRPr>
            </a:pPr>
          </a:p>
        </c:txPr>
        <c:crossAx val="90174624"/>
      </c:catAx>
      <c:valAx>
        <c:axId val="901746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sz="1600">
                    <a:solidFill>
                      <a:srgbClr val="000000"/>
                    </a:solidFill>
                    <a:latin typeface="Arial Narrow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1066609352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757575"/>
                </a:solidFill>
                <a:latin typeface="Arial Narrow"/>
              </a:defRPr>
            </a:pPr>
            <a:r>
              <a:rPr b="0" sz="2000">
                <a:solidFill>
                  <a:srgbClr val="757575"/>
                </a:solidFill>
                <a:latin typeface="Arial Narrow"/>
              </a:rPr>
              <a:t>Number of Instructions for different SIMD widths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strRef>
              <c:f>'Task 2B'!$G$30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2B'!$E$3:$E$26</c:f>
            </c:strRef>
          </c:cat>
          <c:val>
            <c:numRef>
              <c:f>'Task 2B'!$G$31:$G$54</c:f>
              <c:numCache/>
            </c:numRef>
          </c:val>
        </c:ser>
        <c:ser>
          <c:idx val="2"/>
          <c:order val="2"/>
          <c:tx>
            <c:strRef>
              <c:f>'Task 2B'!$G$58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2B'!$E$3:$E$26</c:f>
            </c:strRef>
          </c:cat>
          <c:val>
            <c:numRef>
              <c:f>'Task 2B'!$G$59:$G$82</c:f>
              <c:numCache/>
            </c:numRef>
          </c:val>
        </c:ser>
        <c:ser>
          <c:idx val="3"/>
          <c:order val="3"/>
          <c:tx>
            <c:strRef>
              <c:f>'Task 2B'!$G$85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'Task 2B'!$E$3:$E$26</c:f>
            </c:strRef>
          </c:cat>
          <c:val>
            <c:numRef>
              <c:f>'Task 2B'!$G$86:$G$109</c:f>
              <c:numCache/>
            </c:numRef>
          </c:val>
        </c:ser>
        <c:axId val="1136931448"/>
        <c:axId val="405367908"/>
      </c:barChart>
      <c:lineChart>
        <c:varyColors val="0"/>
        <c:ser>
          <c:idx val="0"/>
          <c:order val="0"/>
          <c:tx>
            <c:strRef>
              <c:f>'Task 2B'!$G$2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'Task 2B'!$E$3:$E$26</c:f>
            </c:strRef>
          </c:cat>
          <c:val>
            <c:numRef>
              <c:f>'Task 2B'!$G$3:$G$26</c:f>
              <c:numCache/>
            </c:numRef>
          </c:val>
          <c:smooth val="0"/>
        </c:ser>
        <c:axId val="1136931448"/>
        <c:axId val="405367908"/>
      </c:lineChart>
      <c:catAx>
        <c:axId val="1136931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sz="1800">
                    <a:solidFill>
                      <a:srgbClr val="000000"/>
                    </a:solidFill>
                    <a:latin typeface="Arial Narrow"/>
                  </a:rPr>
                  <a:t>(embedding size, dimension)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Arial Narrow"/>
              </a:defRPr>
            </a:pPr>
          </a:p>
        </c:txPr>
        <c:crossAx val="405367908"/>
      </c:catAx>
      <c:valAx>
        <c:axId val="405367908"/>
        <c:scaling>
          <c:orientation val="minMax"/>
          <c:min val="5.0E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sz="1800">
                    <a:solidFill>
                      <a:srgbClr val="000000"/>
                    </a:solidFill>
                    <a:latin typeface="Arial Narrow"/>
                  </a:rPr>
                  <a:t>Number of Instructions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Arial Narrow"/>
              </a:defRPr>
            </a:pPr>
          </a:p>
        </c:txPr>
        <c:crossAx val="1136931448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Narrow"/>
              </a:defRPr>
            </a:pPr>
            <a:r>
              <a:rPr b="0">
                <a:solidFill>
                  <a:srgbClr val="757575"/>
                </a:solidFill>
                <a:latin typeface="Arial Narrow"/>
              </a:rPr>
              <a:t>Speedup Comparison for different SIMD widths and cache fill levels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'Task 2C'!$J$57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'Task 2C'!$J$2:$J$49</c:f>
            </c:strRef>
          </c:cat>
          <c:val>
            <c:numRef>
              <c:f>'Task 2C'!$J$58:$J$105</c:f>
              <c:numCache/>
            </c:numRef>
          </c:val>
        </c:ser>
        <c:ser>
          <c:idx val="1"/>
          <c:order val="1"/>
          <c:tx>
            <c:strRef>
              <c:f>'Task 2C'!$J$107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2C'!$J$2:$J$49</c:f>
            </c:strRef>
          </c:cat>
          <c:val>
            <c:numRef>
              <c:f>'Task 2C'!$J$108:$J$155</c:f>
              <c:numCache/>
            </c:numRef>
          </c:val>
        </c:ser>
        <c:ser>
          <c:idx val="2"/>
          <c:order val="2"/>
          <c:tx>
            <c:strRef>
              <c:f>'Task 2C'!$J$158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2C'!$J$2:$J$49</c:f>
            </c:strRef>
          </c:cat>
          <c:val>
            <c:numRef>
              <c:f>'Task 2C'!$J$159:$J$206</c:f>
              <c:numCache/>
            </c:numRef>
          </c:val>
        </c:ser>
        <c:axId val="1948118617"/>
        <c:axId val="1825913510"/>
      </c:barChart>
      <c:lineChart>
        <c:ser>
          <c:idx val="3"/>
          <c:order val="3"/>
          <c:tx>
            <c:strRef>
              <c:f>'Task 2C'!$J$211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'Task 2C'!$J$2:$J$49</c:f>
            </c:strRef>
          </c:cat>
          <c:val>
            <c:numRef>
              <c:f>'Task 2C'!$J$212:$J$259</c:f>
              <c:numCache/>
            </c:numRef>
          </c:val>
          <c:smooth val="0"/>
        </c:ser>
        <c:ser>
          <c:idx val="4"/>
          <c:order val="4"/>
          <c:tx>
            <c:strRef>
              <c:f>'Task 2C'!$J$263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'Task 2C'!$J$2:$J$49</c:f>
            </c:strRef>
          </c:cat>
          <c:val>
            <c:numRef>
              <c:f>'Task 2C'!$J$264:$J$311</c:f>
              <c:numCache/>
            </c:numRef>
          </c:val>
          <c:smooth val="0"/>
        </c:ser>
        <c:ser>
          <c:idx val="5"/>
          <c:order val="5"/>
          <c:tx>
            <c:strRef>
              <c:f>'Task 2C'!$J$314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'Task 2C'!$J$2:$J$49</c:f>
            </c:strRef>
          </c:cat>
          <c:val>
            <c:numRef>
              <c:f>'Task 2C'!$J$315:$J$362</c:f>
              <c:numCache/>
            </c:numRef>
          </c:val>
          <c:smooth val="0"/>
        </c:ser>
        <c:axId val="1948118617"/>
        <c:axId val="1825913510"/>
      </c:lineChart>
      <c:catAx>
        <c:axId val="19481186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>(Embedding size, Dimension, Prefetch Distance)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1825913510"/>
      </c:catAx>
      <c:valAx>
        <c:axId val="1825913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19481186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SIMD 512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'Task 2C'!$P$188:$P$201</c:f>
            </c:strRef>
          </c:cat>
          <c:val>
            <c:numRef>
              <c:f>'Task 2C'!$O$188:$O$201</c:f>
              <c:numCache/>
            </c:numRef>
          </c:val>
        </c:ser>
        <c:ser>
          <c:idx val="1"/>
          <c:order val="1"/>
          <c:tx>
            <c:v>Prefetch 32 T1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'Task 2C'!$P$188:$P$201</c:f>
            </c:strRef>
          </c:cat>
          <c:val>
            <c:numRef>
              <c:f>'Task 2C'!$T$188:$T$201</c:f>
              <c:numCache/>
            </c:numRef>
          </c:val>
        </c:ser>
        <c:ser>
          <c:idx val="2"/>
          <c:order val="2"/>
          <c:tx>
            <c:v>SIMD 512 + Prefetch 32 T1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'Task 2C'!$P$188:$P$201</c:f>
            </c:strRef>
          </c:cat>
          <c:val>
            <c:numRef>
              <c:f>'Task 2C'!$X$188:$X$199</c:f>
              <c:numCache/>
            </c:numRef>
          </c:val>
        </c:ser>
        <c:ser>
          <c:idx val="3"/>
          <c:order val="3"/>
          <c:tx>
            <c:v>SIMD 512 + Prefetch 64 T1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'Task 2C'!$P$188:$P$201</c:f>
            </c:strRef>
          </c:cat>
          <c:val>
            <c:numRef>
              <c:f>'Task 2C'!$W$207:$W$218</c:f>
              <c:numCache/>
            </c:numRef>
          </c:val>
        </c:ser>
        <c:axId val="2075626947"/>
        <c:axId val="1373916464"/>
      </c:barChart>
      <c:catAx>
        <c:axId val="20756269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size, dim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3916464"/>
      </c:catAx>
      <c:valAx>
        <c:axId val="13739164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5626947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Relationship Id="rId4" Type="http://schemas.openxmlformats.org/officeDocument/2006/relationships/chart" Target="../charts/chart18.xml"/><Relationship Id="rId5" Type="http://schemas.openxmlformats.org/officeDocument/2006/relationships/chart" Target="../charts/chart19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876300</xdr:colOff>
      <xdr:row>12</xdr:row>
      <xdr:rowOff>9525</xdr:rowOff>
    </xdr:from>
    <xdr:ext cx="779145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104775</xdr:colOff>
      <xdr:row>12</xdr:row>
      <xdr:rowOff>266700</xdr:rowOff>
    </xdr:from>
    <xdr:ext cx="656272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400050</xdr:colOff>
      <xdr:row>30</xdr:row>
      <xdr:rowOff>180975</xdr:rowOff>
    </xdr:from>
    <xdr:ext cx="10515600" cy="45339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295275</xdr:colOff>
      <xdr:row>6</xdr:row>
      <xdr:rowOff>190500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457200</xdr:colOff>
      <xdr:row>28</xdr:row>
      <xdr:rowOff>123825</xdr:rowOff>
    </xdr:from>
    <xdr:ext cx="8353425" cy="45243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409575</xdr:colOff>
      <xdr:row>13</xdr:row>
      <xdr:rowOff>95250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581025</xdr:colOff>
      <xdr:row>7</xdr:row>
      <xdr:rowOff>47625</xdr:rowOff>
    </xdr:from>
    <xdr:ext cx="11353800" cy="76962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209550</xdr:colOff>
      <xdr:row>4</xdr:row>
      <xdr:rowOff>200025</xdr:rowOff>
    </xdr:from>
    <xdr:ext cx="4591050" cy="42767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485775</xdr:colOff>
      <xdr:row>4</xdr:row>
      <xdr:rowOff>200025</xdr:rowOff>
    </xdr:from>
    <xdr:ext cx="3762375" cy="36480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142875</xdr:colOff>
      <xdr:row>4</xdr:row>
      <xdr:rowOff>200025</xdr:rowOff>
    </xdr:from>
    <xdr:ext cx="3533775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257175</xdr:colOff>
      <xdr:row>4</xdr:row>
      <xdr:rowOff>200025</xdr:rowOff>
    </xdr:from>
    <xdr:ext cx="3857625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295275</xdr:colOff>
      <xdr:row>11</xdr:row>
      <xdr:rowOff>57150</xdr:rowOff>
    </xdr:from>
    <xdr:ext cx="6115050" cy="192405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371475</xdr:colOff>
      <xdr:row>20</xdr:row>
      <xdr:rowOff>57150</xdr:rowOff>
    </xdr:from>
    <xdr:ext cx="6219825" cy="226695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295275</xdr:colOff>
      <xdr:row>2</xdr:row>
      <xdr:rowOff>57150</xdr:rowOff>
    </xdr:from>
    <xdr:ext cx="5648325" cy="192405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676275</xdr:colOff>
      <xdr:row>1</xdr:row>
      <xdr:rowOff>19050</xdr:rowOff>
    </xdr:from>
    <xdr:ext cx="7077075" cy="415290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609600</xdr:colOff>
      <xdr:row>20</xdr:row>
      <xdr:rowOff>57150</xdr:rowOff>
    </xdr:from>
    <xdr:ext cx="8058150" cy="291465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342900</xdr:colOff>
      <xdr:row>39</xdr:row>
      <xdr:rowOff>95250</xdr:rowOff>
    </xdr:from>
    <xdr:ext cx="7181850" cy="420052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447675</xdr:colOff>
      <xdr:row>58</xdr:row>
      <xdr:rowOff>47625</xdr:rowOff>
    </xdr:from>
    <xdr:ext cx="6372225" cy="44862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447675</xdr:colOff>
      <xdr:row>79</xdr:row>
      <xdr:rowOff>152400</xdr:rowOff>
    </xdr:from>
    <xdr:ext cx="5686425" cy="399097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962025</xdr:colOff>
      <xdr:row>34</xdr:row>
      <xdr:rowOff>209550</xdr:rowOff>
    </xdr:from>
    <xdr:ext cx="8115300" cy="3533775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695325</xdr:colOff>
      <xdr:row>4</xdr:row>
      <xdr:rowOff>104775</xdr:rowOff>
    </xdr:from>
    <xdr:ext cx="10858500" cy="4381500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857250</xdr:colOff>
      <xdr:row>0</xdr:row>
      <xdr:rowOff>47625</xdr:rowOff>
    </xdr:from>
    <xdr:ext cx="15982950" cy="591502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285750</xdr:colOff>
      <xdr:row>187</xdr:row>
      <xdr:rowOff>161925</xdr:rowOff>
    </xdr:from>
    <xdr:ext cx="8724900" cy="5400675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2:L8" displayName="Loop_reordering_unrolling" name="Loop_reordering_unrolling" id="1">
  <tableColumns count="12">
    <tableColumn name="Input Size" id="1"/>
    <tableColumn name="exec_time" id="2"/>
    <tableColumn name="exec_time for loop1" id="3"/>
    <tableColumn name="exec_time for loop4" id="4"/>
    <tableColumn name="exec_time for loop8" id="5"/>
    <tableColumn name="exec_time for loop16" id="6"/>
    <tableColumn name="exec_time for loop32" id="7"/>
    <tableColumn name="speedup 1" id="8"/>
    <tableColumn name="speedup 4" id="9"/>
    <tableColumn name="speedup 8" id="10"/>
    <tableColumn name="speedup 16" id="11"/>
    <tableColumn name="speedup 32" id="12"/>
  </tableColumns>
  <tableStyleInfo name="Task 1A-style" showColumnStripes="0" showFirstColumn="1" showLastColumn="1" showRowStripes="1"/>
</table>
</file>

<file path=xl/tables/table2.xml><?xml version="1.0" encoding="utf-8"?>
<table xmlns="http://schemas.openxmlformats.org/spreadsheetml/2006/main" ref="A12:L18" displayName="Tiling_speedup" name="Tiling_speedup" id="2">
  <tableColumns count="12">
    <tableColumn name="Input Size" id="1"/>
    <tableColumn name="Naive time" id="2"/>
    <tableColumn name="exec_time for tile4" id="3"/>
    <tableColumn name="exec_time for tile8" id="4"/>
    <tableColumn name="exec_time for tile16" id="5"/>
    <tableColumn name="exec_time for tile32" id="6"/>
    <tableColumn name="exec_time for tile64" id="7"/>
    <tableColumn name="Speedup tile4" id="8"/>
    <tableColumn name="Speedup  tile8" id="9"/>
    <tableColumn name="Speedup  tile16" id="10"/>
    <tableColumn name="Speedup  tile32" id="11"/>
    <tableColumn name="Speedup  tile64" id="12"/>
  </tableColumns>
  <tableStyleInfo name="Task 1B-style" showColumnStripes="0" showFirstColumn="1" showLastColumn="1" showRowStripes="1"/>
</table>
</file>

<file path=xl/tables/table3.xml><?xml version="1.0" encoding="utf-8"?>
<table xmlns="http://schemas.openxmlformats.org/spreadsheetml/2006/main" ref="A1:S7" displayName="Table1" name="Table1" id="3">
  <tableColumns count="19">
    <tableColumn name="Input Size" id="1"/>
    <tableColumn name=" naive" id="2"/>
    <tableColumn name=" tiling8+loop reorder (1)" id="3"/>
    <tableColumn name="tiling8+loop reorder (2)" id="4"/>
    <tableColumn name="simd512 + loop reorder" id="5"/>
    <tableColumn name="simd256 + loop reorder" id="6"/>
    <tableColumn name="imd512 + tile8 (1)" id="7"/>
    <tableColumn name="simd512 + tile8 (2)" id="8"/>
    <tableColumn name="simd256 + tile8 (1)" id="9"/>
    <tableColumn name="simd256 + tile8 (2)" id="10"/>
    <tableColumn name="simd256 + tile16" id="11"/>
    <tableColumn name="simd512 + tile16" id="12"/>
    <tableColumn name="simd512 + tile32" id="13"/>
    <tableColumn name="simd512 + tile64" id="14"/>
    <tableColumn name="simd256 + tile64" id="15"/>
    <tableColumn name="simd512 + tile32 + loop reorder" id="16"/>
    <tableColumn name="simd512 + tile16 + loop reorder" id="17"/>
    <tableColumn name="tiling64 + reordering" id="18"/>
    <tableColumn name="Column 19" id="19"/>
  </tableColumns>
  <tableStyleInfo name="Task 1D -style" showColumnStripes="0" showFirstColumn="1" showLastColumn="1" showRowStripes="1"/>
</table>
</file>

<file path=xl/tables/table4.xml><?xml version="1.0" encoding="utf-8"?>
<table xmlns="http://schemas.openxmlformats.org/spreadsheetml/2006/main" ref="T1:AK7" displayName="Table2" name="Table2" id="4">
  <tableColumns count="18">
    <tableColumn name="tiling8+loop reorder (1)" id="1"/>
    <tableColumn name="tiling8+loop reorder (2)" id="2"/>
    <tableColumn name="simd512 + loop reorder" id="3"/>
    <tableColumn name="simd256 + loop reorder" id="4"/>
    <tableColumn name="imd512 + tile8 (1)" id="5"/>
    <tableColumn name="simd512 + tile8 (2)" id="6"/>
    <tableColumn name="simd256 + tile8 (1)" id="7"/>
    <tableColumn name="simd256 + tile8 (2)" id="8"/>
    <tableColumn name="simd256 + tile16" id="9"/>
    <tableColumn name="simd512 + tile16" id="10"/>
    <tableColumn name="simd512 + tile32" id="11"/>
    <tableColumn name="simd512 + tile64" id="12"/>
    <tableColumn name="simd256 + tile64" id="13"/>
    <tableColumn name="simd512 + tile32 + loop reorder" id="14"/>
    <tableColumn name="simd512 + tile16 + loop reorder" id="15"/>
    <tableColumn name="tiling64 + reorder" id="16"/>
    <tableColumn name="simd 512" id="17"/>
    <tableColumn name="tile 64" id="18"/>
  </tableColumns>
  <tableStyleInfo name="Task 1D 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5" t="s">
        <v>11</v>
      </c>
    </row>
    <row r="3">
      <c r="A3" s="6">
        <v>128.0</v>
      </c>
      <c r="B3" s="7">
        <v>7.0</v>
      </c>
      <c r="C3" s="8">
        <v>5.0</v>
      </c>
      <c r="D3" s="8">
        <v>4.0</v>
      </c>
      <c r="E3" s="8">
        <v>4.0</v>
      </c>
      <c r="F3" s="8">
        <v>4.0</v>
      </c>
      <c r="G3" s="8">
        <v>6.0</v>
      </c>
      <c r="H3" s="9">
        <f t="shared" ref="H3:H8" si="1">B3/C3</f>
        <v>1.4</v>
      </c>
      <c r="I3" s="9">
        <f t="shared" ref="I3:I8" si="2">B3/D3</f>
        <v>1.75</v>
      </c>
      <c r="J3" s="9">
        <f t="shared" ref="J3:J8" si="3">B3/E3</f>
        <v>1.75</v>
      </c>
      <c r="K3" s="9">
        <f t="shared" ref="K3:K8" si="4">B3/F3</f>
        <v>1.75</v>
      </c>
      <c r="L3" s="10">
        <f t="shared" ref="L3:L8" si="5">B3/G3</f>
        <v>1.166666667</v>
      </c>
    </row>
    <row r="4">
      <c r="A4" s="11">
        <v>256.0</v>
      </c>
      <c r="B4" s="7">
        <v>63.0</v>
      </c>
      <c r="C4" s="12">
        <v>38.0</v>
      </c>
      <c r="D4" s="12">
        <v>34.0</v>
      </c>
      <c r="E4" s="12">
        <v>34.0</v>
      </c>
      <c r="F4" s="12">
        <v>33.0</v>
      </c>
      <c r="G4" s="12">
        <v>31.0</v>
      </c>
      <c r="H4" s="13">
        <f t="shared" si="1"/>
        <v>1.657894737</v>
      </c>
      <c r="I4" s="13">
        <f t="shared" si="2"/>
        <v>1.852941176</v>
      </c>
      <c r="J4" s="13">
        <f t="shared" si="3"/>
        <v>1.852941176</v>
      </c>
      <c r="K4" s="13">
        <f t="shared" si="4"/>
        <v>1.909090909</v>
      </c>
      <c r="L4" s="14">
        <f t="shared" si="5"/>
        <v>2.032258065</v>
      </c>
    </row>
    <row r="5">
      <c r="A5" s="6">
        <v>512.0</v>
      </c>
      <c r="B5" s="7">
        <v>575.0</v>
      </c>
      <c r="C5" s="8">
        <v>299.0</v>
      </c>
      <c r="D5" s="8">
        <v>281.0</v>
      </c>
      <c r="E5" s="8">
        <v>246.0</v>
      </c>
      <c r="F5" s="8">
        <v>244.0</v>
      </c>
      <c r="G5" s="8">
        <v>241.0</v>
      </c>
      <c r="H5" s="9">
        <f t="shared" si="1"/>
        <v>1.923076923</v>
      </c>
      <c r="I5" s="9">
        <f t="shared" si="2"/>
        <v>2.046263345</v>
      </c>
      <c r="J5" s="9">
        <f t="shared" si="3"/>
        <v>2.337398374</v>
      </c>
      <c r="K5" s="9">
        <f t="shared" si="4"/>
        <v>2.356557377</v>
      </c>
      <c r="L5" s="10">
        <f t="shared" si="5"/>
        <v>2.385892116</v>
      </c>
    </row>
    <row r="6">
      <c r="A6" s="11">
        <v>1024.0</v>
      </c>
      <c r="B6" s="7">
        <v>10659.0</v>
      </c>
      <c r="C6" s="12">
        <v>2466.0</v>
      </c>
      <c r="D6" s="12">
        <v>2196.0</v>
      </c>
      <c r="E6" s="12">
        <v>2224.0</v>
      </c>
      <c r="F6" s="12">
        <v>2076.0</v>
      </c>
      <c r="G6" s="12">
        <v>1994.0</v>
      </c>
      <c r="H6" s="13">
        <f t="shared" si="1"/>
        <v>4.322384428</v>
      </c>
      <c r="I6" s="13">
        <f t="shared" si="2"/>
        <v>4.853825137</v>
      </c>
      <c r="J6" s="13">
        <f t="shared" si="3"/>
        <v>4.792715827</v>
      </c>
      <c r="K6" s="13">
        <f t="shared" si="4"/>
        <v>5.134393064</v>
      </c>
      <c r="L6" s="14">
        <f t="shared" si="5"/>
        <v>5.34553661</v>
      </c>
    </row>
    <row r="7">
      <c r="A7" s="6">
        <v>2048.0</v>
      </c>
      <c r="B7" s="7">
        <v>165434.0</v>
      </c>
      <c r="C7" s="8">
        <v>19556.0</v>
      </c>
      <c r="D7" s="8">
        <v>17121.0</v>
      </c>
      <c r="E7" s="8">
        <v>16950.0</v>
      </c>
      <c r="F7" s="8">
        <v>16402.0</v>
      </c>
      <c r="G7" s="8">
        <v>15833.0</v>
      </c>
      <c r="H7" s="9">
        <f t="shared" si="1"/>
        <v>8.45950092</v>
      </c>
      <c r="I7" s="9">
        <f t="shared" si="2"/>
        <v>9.662636528</v>
      </c>
      <c r="J7" s="9">
        <f t="shared" si="3"/>
        <v>9.760117994</v>
      </c>
      <c r="K7" s="9">
        <f t="shared" si="4"/>
        <v>10.086209</v>
      </c>
      <c r="L7" s="10">
        <f t="shared" si="5"/>
        <v>10.44868313</v>
      </c>
    </row>
    <row r="8">
      <c r="A8" s="15">
        <v>4096.0</v>
      </c>
      <c r="B8" s="16">
        <v>2000000.0</v>
      </c>
      <c r="C8" s="17">
        <v>152793.0</v>
      </c>
      <c r="D8" s="17">
        <v>134933.0</v>
      </c>
      <c r="E8" s="17">
        <v>134331.0</v>
      </c>
      <c r="F8" s="17">
        <v>128874.0</v>
      </c>
      <c r="G8" s="17">
        <v>134687.0</v>
      </c>
      <c r="H8" s="18">
        <f t="shared" si="1"/>
        <v>13.08960489</v>
      </c>
      <c r="I8" s="18">
        <f t="shared" si="2"/>
        <v>14.822171</v>
      </c>
      <c r="J8" s="18">
        <f t="shared" si="3"/>
        <v>14.88859608</v>
      </c>
      <c r="K8" s="18">
        <f t="shared" si="4"/>
        <v>15.5190341</v>
      </c>
      <c r="L8" s="19">
        <f t="shared" si="5"/>
        <v>14.84924306</v>
      </c>
    </row>
    <row r="12">
      <c r="N12" s="20" t="s">
        <v>0</v>
      </c>
      <c r="O12" s="20" t="s">
        <v>12</v>
      </c>
      <c r="P12" s="20" t="s">
        <v>13</v>
      </c>
      <c r="Q12" s="20" t="s">
        <v>14</v>
      </c>
    </row>
    <row r="13">
      <c r="N13" s="21">
        <v>8.0</v>
      </c>
      <c r="O13" s="21">
        <v>3833787.0</v>
      </c>
      <c r="P13" s="21">
        <v>44191.0</v>
      </c>
      <c r="Q13" s="21">
        <v>11.526</v>
      </c>
    </row>
    <row r="14">
      <c r="N14" s="21">
        <v>16.0</v>
      </c>
      <c r="O14" s="21">
        <v>4067005.0</v>
      </c>
      <c r="P14" s="21">
        <v>43671.0</v>
      </c>
      <c r="Q14" s="21">
        <v>10.737</v>
      </c>
    </row>
    <row r="15">
      <c r="N15" s="21">
        <v>32.0</v>
      </c>
      <c r="O15" s="21">
        <v>5549175.0</v>
      </c>
      <c r="P15" s="21">
        <v>43422.0</v>
      </c>
      <c r="Q15" s="21">
        <v>7.824</v>
      </c>
    </row>
    <row r="16">
      <c r="N16" s="21">
        <v>64.0</v>
      </c>
      <c r="O16" s="21">
        <v>1.6892871E7</v>
      </c>
      <c r="P16" s="21">
        <v>50376.0</v>
      </c>
      <c r="Q16" s="21">
        <v>2.982</v>
      </c>
    </row>
    <row r="17">
      <c r="N17" s="21">
        <v>128.0</v>
      </c>
      <c r="O17" s="21">
        <v>1.04700466E8</v>
      </c>
      <c r="P17" s="21">
        <v>2556486.0</v>
      </c>
      <c r="Q17" s="21">
        <v>24.417</v>
      </c>
    </row>
    <row r="18">
      <c r="N18" s="21">
        <v>256.0</v>
      </c>
      <c r="O18" s="21">
        <v>7.93255428E8</v>
      </c>
      <c r="P18" s="21">
        <v>1.953621E7</v>
      </c>
      <c r="Q18" s="21">
        <v>24.627</v>
      </c>
    </row>
    <row r="19">
      <c r="N19" s="21">
        <v>512.0</v>
      </c>
      <c r="O19" s="21">
        <v>6.249789303E9</v>
      </c>
      <c r="P19" s="21">
        <v>1.3525777E8</v>
      </c>
      <c r="Q19" s="21">
        <v>21.641</v>
      </c>
    </row>
    <row r="20">
      <c r="N20" s="21">
        <v>1024.0</v>
      </c>
      <c r="O20" s="21">
        <v>4.9771038235E10</v>
      </c>
      <c r="P20" s="21">
        <v>1.081762047E9</v>
      </c>
      <c r="Q20" s="21">
        <v>21.734</v>
      </c>
    </row>
    <row r="21">
      <c r="N21" s="21">
        <v>2048.0</v>
      </c>
      <c r="O21" s="21">
        <v>3.97422544852E11</v>
      </c>
      <c r="P21" s="21">
        <v>1.0298849175E10</v>
      </c>
      <c r="Q21" s="21">
        <v>25.914</v>
      </c>
    </row>
    <row r="22">
      <c r="N22" s="22"/>
      <c r="O22" s="22"/>
      <c r="P22" s="22"/>
      <c r="Q22" s="22"/>
    </row>
  </sheetData>
  <dataValidations>
    <dataValidation type="custom" allowBlank="1" showDropDown="1" sqref="A3:G8">
      <formula1>AND(ISNUMBER(A3),(NOT(OR(NOT(ISERROR(DATEVALUE(A3))), AND(ISNUMBER(A3), LEFT(CELL("format", A3))="D")))))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2.63"/>
  </cols>
  <sheetData>
    <row r="1">
      <c r="A1" s="23"/>
    </row>
    <row r="12">
      <c r="A12" s="1" t="s">
        <v>0</v>
      </c>
      <c r="B12" s="24" t="s">
        <v>15</v>
      </c>
      <c r="C12" s="3" t="s">
        <v>16</v>
      </c>
      <c r="D12" s="3" t="s">
        <v>17</v>
      </c>
      <c r="E12" s="3" t="s">
        <v>18</v>
      </c>
      <c r="F12" s="3" t="s">
        <v>19</v>
      </c>
      <c r="G12" s="3" t="s">
        <v>20</v>
      </c>
      <c r="H12" s="24" t="s">
        <v>21</v>
      </c>
      <c r="I12" s="4" t="s">
        <v>22</v>
      </c>
      <c r="J12" s="4" t="s">
        <v>23</v>
      </c>
      <c r="K12" s="4" t="s">
        <v>24</v>
      </c>
      <c r="L12" s="5" t="s">
        <v>25</v>
      </c>
    </row>
    <row r="13">
      <c r="A13" s="6">
        <v>128.0</v>
      </c>
      <c r="B13" s="7">
        <v>7.0</v>
      </c>
      <c r="C13" s="8">
        <v>7.0</v>
      </c>
      <c r="D13" s="8">
        <v>6.0</v>
      </c>
      <c r="E13" s="8">
        <v>5.0</v>
      </c>
      <c r="F13" s="8">
        <v>5.0</v>
      </c>
      <c r="G13" s="8">
        <v>4.0</v>
      </c>
      <c r="H13" s="25">
        <f t="shared" ref="H13:H18" si="1">B13/C13</f>
        <v>1</v>
      </c>
      <c r="I13" s="9">
        <f t="shared" ref="I13:I18" si="2">B13/D13</f>
        <v>1.166666667</v>
      </c>
      <c r="J13" s="9">
        <f t="shared" ref="J13:J18" si="3">B13/E13</f>
        <v>1.4</v>
      </c>
      <c r="K13" s="9">
        <f t="shared" ref="K13:K18" si="4">B13/F13</f>
        <v>1.4</v>
      </c>
      <c r="L13" s="10">
        <f t="shared" ref="L13:L18" si="5">B13/G13</f>
        <v>1.75</v>
      </c>
    </row>
    <row r="14">
      <c r="A14" s="11">
        <v>256.0</v>
      </c>
      <c r="B14" s="7">
        <v>63.0</v>
      </c>
      <c r="C14" s="12">
        <v>60.0</v>
      </c>
      <c r="D14" s="12">
        <v>55.0</v>
      </c>
      <c r="E14" s="12">
        <v>48.0</v>
      </c>
      <c r="F14" s="12">
        <v>45.0</v>
      </c>
      <c r="G14" s="12">
        <v>40.0</v>
      </c>
      <c r="H14" s="26">
        <f t="shared" si="1"/>
        <v>1.05</v>
      </c>
      <c r="I14" s="13">
        <f t="shared" si="2"/>
        <v>1.145454545</v>
      </c>
      <c r="J14" s="13">
        <f t="shared" si="3"/>
        <v>1.3125</v>
      </c>
      <c r="K14" s="13">
        <f t="shared" si="4"/>
        <v>1.4</v>
      </c>
      <c r="L14" s="14">
        <f t="shared" si="5"/>
        <v>1.575</v>
      </c>
    </row>
    <row r="15">
      <c r="A15" s="6">
        <v>512.0</v>
      </c>
      <c r="B15" s="7">
        <v>575.0</v>
      </c>
      <c r="C15" s="8">
        <v>472.0</v>
      </c>
      <c r="D15" s="8">
        <v>420.0</v>
      </c>
      <c r="E15" s="8">
        <v>380.0</v>
      </c>
      <c r="F15" s="8">
        <v>350.0</v>
      </c>
      <c r="G15" s="8">
        <v>320.0</v>
      </c>
      <c r="H15" s="25">
        <f t="shared" si="1"/>
        <v>1.218220339</v>
      </c>
      <c r="I15" s="9">
        <f t="shared" si="2"/>
        <v>1.369047619</v>
      </c>
      <c r="J15" s="9">
        <f t="shared" si="3"/>
        <v>1.513157895</v>
      </c>
      <c r="K15" s="9">
        <f t="shared" si="4"/>
        <v>1.642857143</v>
      </c>
      <c r="L15" s="10">
        <f t="shared" si="5"/>
        <v>1.796875</v>
      </c>
    </row>
    <row r="16">
      <c r="A16" s="11">
        <v>1024.0</v>
      </c>
      <c r="B16" s="7">
        <v>10659.0</v>
      </c>
      <c r="C16" s="12">
        <v>4464.0</v>
      </c>
      <c r="D16" s="12">
        <v>4000.0</v>
      </c>
      <c r="E16" s="12">
        <v>3600.0</v>
      </c>
      <c r="F16" s="12">
        <v>3300.0</v>
      </c>
      <c r="G16" s="12">
        <v>3000.0</v>
      </c>
      <c r="H16" s="26">
        <f t="shared" si="1"/>
        <v>2.387768817</v>
      </c>
      <c r="I16" s="13">
        <f t="shared" si="2"/>
        <v>2.66475</v>
      </c>
      <c r="J16" s="13">
        <f t="shared" si="3"/>
        <v>2.960833333</v>
      </c>
      <c r="K16" s="13">
        <f t="shared" si="4"/>
        <v>3.23</v>
      </c>
      <c r="L16" s="14">
        <f t="shared" si="5"/>
        <v>3.553</v>
      </c>
    </row>
    <row r="17">
      <c r="A17" s="6">
        <v>2048.0</v>
      </c>
      <c r="B17" s="7">
        <v>165434.0</v>
      </c>
      <c r="C17" s="8">
        <v>39576.0</v>
      </c>
      <c r="D17" s="8">
        <v>35000.0</v>
      </c>
      <c r="E17" s="8">
        <v>32000.0</v>
      </c>
      <c r="F17" s="8">
        <v>29000.0</v>
      </c>
      <c r="G17" s="8">
        <v>26000.0</v>
      </c>
      <c r="H17" s="25">
        <f t="shared" si="1"/>
        <v>4.180159693</v>
      </c>
      <c r="I17" s="9">
        <f t="shared" si="2"/>
        <v>4.726685714</v>
      </c>
      <c r="J17" s="9">
        <f t="shared" si="3"/>
        <v>5.1698125</v>
      </c>
      <c r="K17" s="9">
        <f t="shared" si="4"/>
        <v>5.70462069</v>
      </c>
      <c r="L17" s="10">
        <f t="shared" si="5"/>
        <v>6.362846154</v>
      </c>
    </row>
    <row r="18">
      <c r="A18" s="15">
        <v>4096.0</v>
      </c>
      <c r="B18" s="27">
        <v>2000000.0</v>
      </c>
      <c r="C18" s="17">
        <v>390880.0</v>
      </c>
      <c r="D18" s="17">
        <v>340000.0</v>
      </c>
      <c r="E18" s="17">
        <v>310000.0</v>
      </c>
      <c r="F18" s="17">
        <v>280000.0</v>
      </c>
      <c r="G18" s="17">
        <v>250000.0</v>
      </c>
      <c r="H18" s="28">
        <f t="shared" si="1"/>
        <v>5.116659844</v>
      </c>
      <c r="I18" s="18">
        <f t="shared" si="2"/>
        <v>5.882352941</v>
      </c>
      <c r="J18" s="18">
        <f t="shared" si="3"/>
        <v>6.451612903</v>
      </c>
      <c r="K18" s="18">
        <f t="shared" si="4"/>
        <v>7.142857143</v>
      </c>
      <c r="L18" s="19">
        <f t="shared" si="5"/>
        <v>8</v>
      </c>
    </row>
    <row r="21">
      <c r="A21" s="20" t="s">
        <v>0</v>
      </c>
      <c r="B21" s="20" t="s">
        <v>12</v>
      </c>
      <c r="C21" s="20" t="s">
        <v>13</v>
      </c>
      <c r="D21" s="20" t="s">
        <v>26</v>
      </c>
    </row>
    <row r="22">
      <c r="A22" s="21">
        <v>8.0</v>
      </c>
      <c r="B22" s="21">
        <v>3833787.0</v>
      </c>
      <c r="C22" s="21">
        <v>44191.0</v>
      </c>
      <c r="D22" s="21">
        <v>11.526</v>
      </c>
    </row>
    <row r="23">
      <c r="A23" s="21">
        <v>16.0</v>
      </c>
      <c r="B23" s="21">
        <v>4067005.0</v>
      </c>
      <c r="C23" s="21">
        <v>43671.0</v>
      </c>
      <c r="D23" s="21">
        <v>10.737</v>
      </c>
    </row>
    <row r="24">
      <c r="A24" s="21">
        <v>32.0</v>
      </c>
      <c r="B24" s="21">
        <v>5549175.0</v>
      </c>
      <c r="C24" s="21">
        <v>43422.0</v>
      </c>
      <c r="D24" s="21">
        <v>7.824</v>
      </c>
    </row>
    <row r="25">
      <c r="A25" s="21">
        <v>64.0</v>
      </c>
      <c r="B25" s="21">
        <v>1.6892871E7</v>
      </c>
      <c r="C25" s="21">
        <v>50376.0</v>
      </c>
      <c r="D25" s="21">
        <v>2.982</v>
      </c>
    </row>
    <row r="26">
      <c r="A26" s="21">
        <v>128.0</v>
      </c>
      <c r="B26" s="21">
        <v>1.04700466E8</v>
      </c>
      <c r="C26" s="21">
        <v>2556486.0</v>
      </c>
      <c r="D26" s="21">
        <v>24.417</v>
      </c>
    </row>
    <row r="27">
      <c r="A27" s="21">
        <v>256.0</v>
      </c>
      <c r="B27" s="21">
        <v>7.93255428E8</v>
      </c>
      <c r="C27" s="21">
        <v>1.953621E7</v>
      </c>
      <c r="D27" s="21">
        <v>24.627</v>
      </c>
      <c r="F27" s="20" t="s">
        <v>0</v>
      </c>
      <c r="G27" s="20" t="s">
        <v>27</v>
      </c>
    </row>
    <row r="28">
      <c r="A28" s="21">
        <v>512.0</v>
      </c>
      <c r="B28" s="21">
        <v>6.249789303E9</v>
      </c>
      <c r="C28" s="21">
        <v>1.3525777E8</v>
      </c>
      <c r="D28" s="21">
        <v>21.641</v>
      </c>
      <c r="F28" s="21">
        <v>8.0</v>
      </c>
      <c r="G28" s="21">
        <v>0.0</v>
      </c>
    </row>
    <row r="29">
      <c r="A29" s="21">
        <v>1024.0</v>
      </c>
      <c r="B29" s="21">
        <v>4.9771038235E10</v>
      </c>
      <c r="C29" s="21">
        <v>1.081762047E9</v>
      </c>
      <c r="D29" s="21">
        <v>21.734</v>
      </c>
      <c r="F29" s="21">
        <v>16.0</v>
      </c>
      <c r="G29" s="21">
        <v>0.0</v>
      </c>
    </row>
    <row r="30">
      <c r="A30" s="21">
        <v>2048.0</v>
      </c>
      <c r="B30" s="21">
        <v>3.97422544852E11</v>
      </c>
      <c r="C30" s="21">
        <v>1.0298849175E10</v>
      </c>
      <c r="D30" s="21">
        <v>25.914</v>
      </c>
      <c r="F30" s="21">
        <v>32.0</v>
      </c>
      <c r="G30" s="21">
        <v>0.0</v>
      </c>
    </row>
    <row r="31">
      <c r="A31" s="22"/>
      <c r="B31" s="22"/>
      <c r="C31" s="22"/>
      <c r="D31" s="22"/>
      <c r="F31" s="21">
        <v>64.0</v>
      </c>
      <c r="G31" s="21">
        <v>0.0</v>
      </c>
    </row>
    <row r="32">
      <c r="A32" s="20" t="s">
        <v>0</v>
      </c>
      <c r="B32" s="20" t="s">
        <v>12</v>
      </c>
      <c r="C32" s="20" t="s">
        <v>13</v>
      </c>
      <c r="D32" s="20" t="s">
        <v>28</v>
      </c>
      <c r="F32" s="21">
        <v>128.0</v>
      </c>
      <c r="G32" s="21">
        <v>7.0</v>
      </c>
    </row>
    <row r="33">
      <c r="A33" s="21">
        <v>8.0</v>
      </c>
      <c r="B33" s="21">
        <v>3821933.0</v>
      </c>
      <c r="C33" s="21">
        <v>43025.0</v>
      </c>
      <c r="D33" s="21">
        <v>11.257</v>
      </c>
      <c r="F33" s="21">
        <v>256.0</v>
      </c>
      <c r="G33" s="21">
        <v>63.0</v>
      </c>
    </row>
    <row r="34">
      <c r="A34" s="21">
        <v>16.0</v>
      </c>
      <c r="B34" s="21">
        <v>4075313.0</v>
      </c>
      <c r="C34" s="21">
        <v>42730.0</v>
      </c>
      <c r="D34" s="21">
        <v>10.485</v>
      </c>
      <c r="F34" s="21">
        <v>512.0</v>
      </c>
      <c r="G34" s="21">
        <v>575.0</v>
      </c>
    </row>
    <row r="35">
      <c r="A35" s="21">
        <v>32.0</v>
      </c>
      <c r="B35" s="21">
        <v>5768945.0</v>
      </c>
      <c r="C35" s="21">
        <v>44389.0</v>
      </c>
      <c r="D35" s="21">
        <v>7.694</v>
      </c>
      <c r="F35" s="21">
        <v>1024.0</v>
      </c>
      <c r="G35" s="21">
        <v>10659.0</v>
      </c>
    </row>
    <row r="36">
      <c r="A36" s="21">
        <v>64.0</v>
      </c>
      <c r="B36" s="21">
        <v>1.8573294E7</v>
      </c>
      <c r="C36" s="21">
        <v>47856.0</v>
      </c>
      <c r="D36" s="21">
        <v>2.576</v>
      </c>
      <c r="F36" s="21">
        <v>2048.0</v>
      </c>
      <c r="G36" s="21">
        <v>165434.0</v>
      </c>
    </row>
    <row r="37">
      <c r="A37" s="21">
        <v>128.0</v>
      </c>
      <c r="B37" s="21">
        <v>1.18298172E8</v>
      </c>
      <c r="C37" s="21">
        <v>269083.0</v>
      </c>
      <c r="D37" s="21">
        <v>2.274</v>
      </c>
    </row>
    <row r="38">
      <c r="A38" s="21">
        <v>256.0</v>
      </c>
      <c r="B38" s="21">
        <v>9.02469601E8</v>
      </c>
      <c r="C38" s="21">
        <v>1876444.0</v>
      </c>
      <c r="D38" s="21">
        <v>2.079</v>
      </c>
    </row>
    <row r="39">
      <c r="A39" s="21">
        <v>512.0</v>
      </c>
      <c r="B39" s="21">
        <v>7.128576658E9</v>
      </c>
      <c r="C39" s="21">
        <v>1.9457193E7</v>
      </c>
      <c r="D39" s="21">
        <v>2.729</v>
      </c>
    </row>
    <row r="40">
      <c r="A40" s="21">
        <v>1024.0</v>
      </c>
      <c r="B40" s="21">
        <v>5.6749440902E10</v>
      </c>
      <c r="C40" s="21">
        <v>1.61941011E8</v>
      </c>
      <c r="D40" s="21">
        <v>2.853</v>
      </c>
    </row>
    <row r="41">
      <c r="A41" s="21">
        <v>2048.0</v>
      </c>
      <c r="B41" s="21">
        <v>4.5303552587E11</v>
      </c>
      <c r="C41" s="21">
        <v>1.757685928E9</v>
      </c>
      <c r="D41" s="21">
        <v>3.879</v>
      </c>
    </row>
    <row r="42">
      <c r="A42" s="22"/>
      <c r="B42" s="22"/>
      <c r="C42" s="22"/>
      <c r="D42" s="22"/>
    </row>
    <row r="43">
      <c r="A43" s="20" t="s">
        <v>0</v>
      </c>
      <c r="B43" s="20" t="s">
        <v>12</v>
      </c>
      <c r="C43" s="20" t="s">
        <v>13</v>
      </c>
      <c r="D43" s="20" t="s">
        <v>29</v>
      </c>
    </row>
    <row r="44">
      <c r="A44" s="21">
        <v>8.0</v>
      </c>
      <c r="B44" s="21">
        <v>3828219.0</v>
      </c>
      <c r="C44" s="21">
        <v>46120.0</v>
      </c>
      <c r="D44" s="21">
        <v>12.047</v>
      </c>
    </row>
    <row r="45">
      <c r="A45" s="21">
        <v>16.0</v>
      </c>
      <c r="B45" s="21">
        <v>4054377.0</v>
      </c>
      <c r="C45" s="21">
        <v>42805.0</v>
      </c>
      <c r="D45" s="21">
        <v>10.557</v>
      </c>
    </row>
    <row r="46">
      <c r="A46" s="21">
        <v>32.0</v>
      </c>
      <c r="B46" s="21">
        <v>5682787.0</v>
      </c>
      <c r="C46" s="21">
        <v>44746.0</v>
      </c>
      <c r="D46" s="21">
        <v>7.873</v>
      </c>
    </row>
    <row r="47">
      <c r="A47" s="21">
        <v>64.0</v>
      </c>
      <c r="B47" s="21">
        <v>1.7930459E7</v>
      </c>
      <c r="C47" s="21">
        <v>49911.0</v>
      </c>
      <c r="D47" s="21">
        <v>2.783</v>
      </c>
    </row>
    <row r="48">
      <c r="A48" s="21">
        <v>128.0</v>
      </c>
      <c r="B48" s="21">
        <v>1.12822337E8</v>
      </c>
      <c r="C48" s="21">
        <v>130046.0</v>
      </c>
      <c r="D48" s="21">
        <v>1.152</v>
      </c>
    </row>
    <row r="49">
      <c r="A49" s="21">
        <v>256.0</v>
      </c>
      <c r="B49" s="21">
        <v>8.59300232E8</v>
      </c>
      <c r="C49" s="21">
        <v>982841.0</v>
      </c>
      <c r="D49" s="21">
        <v>1.143</v>
      </c>
    </row>
    <row r="50">
      <c r="A50" s="21">
        <v>512.0</v>
      </c>
      <c r="B50" s="21">
        <v>6.783867212E9</v>
      </c>
      <c r="C50" s="21">
        <v>1.3918968E7</v>
      </c>
      <c r="D50" s="21">
        <v>2.051</v>
      </c>
    </row>
    <row r="51">
      <c r="A51" s="21">
        <v>1024.0</v>
      </c>
      <c r="B51" s="21">
        <v>5.3977379704E10</v>
      </c>
      <c r="C51" s="21">
        <v>1.16596477E8</v>
      </c>
      <c r="D51" s="21">
        <v>2.16</v>
      </c>
    </row>
    <row r="52">
      <c r="A52" s="21">
        <v>2048.0</v>
      </c>
      <c r="B52" s="21">
        <v>4.30762187363E11</v>
      </c>
      <c r="C52" s="21">
        <v>8.92452105E8</v>
      </c>
      <c r="D52" s="21">
        <v>2.071</v>
      </c>
    </row>
    <row r="53">
      <c r="A53" s="22"/>
      <c r="B53" s="22"/>
      <c r="C53" s="22"/>
      <c r="D53" s="22"/>
    </row>
    <row r="54">
      <c r="A54" s="20" t="s">
        <v>0</v>
      </c>
      <c r="B54" s="20" t="s">
        <v>12</v>
      </c>
      <c r="C54" s="20" t="s">
        <v>13</v>
      </c>
      <c r="D54" s="20" t="s">
        <v>30</v>
      </c>
    </row>
    <row r="55">
      <c r="A55" s="21">
        <v>8.0</v>
      </c>
      <c r="B55" s="21">
        <v>3933698.0</v>
      </c>
      <c r="C55" s="21">
        <v>43274.0</v>
      </c>
      <c r="D55" s="21">
        <v>11.0</v>
      </c>
    </row>
    <row r="56">
      <c r="A56" s="21">
        <v>16.0</v>
      </c>
      <c r="B56" s="21">
        <v>3986530.0</v>
      </c>
      <c r="C56" s="21">
        <v>43522.0</v>
      </c>
      <c r="D56" s="21">
        <v>10.917</v>
      </c>
    </row>
    <row r="57">
      <c r="A57" s="21">
        <v>32.0</v>
      </c>
      <c r="B57" s="21">
        <v>5568361.0</v>
      </c>
      <c r="C57" s="21">
        <v>44193.0</v>
      </c>
      <c r="D57" s="21">
        <v>7.936</v>
      </c>
    </row>
    <row r="58">
      <c r="A58" s="21">
        <v>64.0</v>
      </c>
      <c r="B58" s="21">
        <v>1.7601514E7</v>
      </c>
      <c r="C58" s="21">
        <v>52020.0</v>
      </c>
      <c r="D58" s="21">
        <v>2.955</v>
      </c>
    </row>
    <row r="59">
      <c r="A59" s="21">
        <v>128.0</v>
      </c>
      <c r="B59" s="21">
        <v>1.107278E8</v>
      </c>
      <c r="C59" s="21">
        <v>113506.0</v>
      </c>
      <c r="D59" s="21">
        <v>1.025</v>
      </c>
    </row>
    <row r="60">
      <c r="A60" s="21">
        <v>256.0</v>
      </c>
      <c r="B60" s="21">
        <v>8.41705818E8</v>
      </c>
      <c r="C60" s="21">
        <v>902995.0</v>
      </c>
      <c r="D60" s="21">
        <v>1.072</v>
      </c>
    </row>
    <row r="61">
      <c r="A61" s="21">
        <v>512.0</v>
      </c>
      <c r="B61" s="21">
        <v>6.642563105E9</v>
      </c>
      <c r="C61" s="21">
        <v>1.21943255E8</v>
      </c>
      <c r="D61" s="21">
        <v>18.357</v>
      </c>
    </row>
    <row r="62">
      <c r="A62" s="21">
        <v>1024.0</v>
      </c>
      <c r="B62" s="21">
        <v>5.2853183725E10</v>
      </c>
      <c r="C62" s="21">
        <v>9.56590134E8</v>
      </c>
      <c r="D62" s="21">
        <v>18.099</v>
      </c>
    </row>
    <row r="63">
      <c r="A63" s="21">
        <v>2048.0</v>
      </c>
      <c r="B63" s="21">
        <v>4.21748751669E11</v>
      </c>
      <c r="C63" s="21">
        <v>7.496416507E9</v>
      </c>
      <c r="D63" s="21">
        <v>17.774</v>
      </c>
    </row>
    <row r="64">
      <c r="A64" s="20" t="s">
        <v>0</v>
      </c>
      <c r="B64" s="20" t="s">
        <v>12</v>
      </c>
      <c r="C64" s="20" t="s">
        <v>13</v>
      </c>
      <c r="D64" s="20" t="s">
        <v>31</v>
      </c>
    </row>
    <row r="65">
      <c r="A65" s="21">
        <v>8.0</v>
      </c>
      <c r="B65" s="21">
        <v>5349791.0</v>
      </c>
      <c r="C65" s="21">
        <v>43123.0</v>
      </c>
      <c r="D65" s="21">
        <v>8.06</v>
      </c>
    </row>
    <row r="66">
      <c r="A66" s="21">
        <v>16.0</v>
      </c>
      <c r="B66" s="21">
        <v>5579086.0</v>
      </c>
      <c r="C66" s="21">
        <v>47353.0</v>
      </c>
      <c r="D66" s="21">
        <v>8.487</v>
      </c>
    </row>
    <row r="67">
      <c r="A67" s="21">
        <v>32.0</v>
      </c>
      <c r="B67" s="21">
        <v>5588821.0</v>
      </c>
      <c r="C67" s="21">
        <v>44044.0</v>
      </c>
      <c r="D67" s="21">
        <v>7.88</v>
      </c>
    </row>
    <row r="68">
      <c r="A68" s="21">
        <v>64.0</v>
      </c>
      <c r="B68" s="21">
        <v>1.7452098E7</v>
      </c>
      <c r="C68" s="21">
        <v>52250.0</v>
      </c>
      <c r="D68" s="21">
        <v>2.993</v>
      </c>
    </row>
    <row r="69">
      <c r="A69" s="21">
        <v>128.0</v>
      </c>
      <c r="B69" s="21">
        <v>1.0968114E8</v>
      </c>
      <c r="C69" s="21">
        <v>108659.0</v>
      </c>
      <c r="D69" s="21">
        <v>0.99</v>
      </c>
    </row>
    <row r="70">
      <c r="A70" s="21">
        <v>256.0</v>
      </c>
      <c r="B70" s="21">
        <v>8.33563822E8</v>
      </c>
      <c r="C70" s="21">
        <v>2.1679772E7</v>
      </c>
      <c r="D70" s="21">
        <v>26.008</v>
      </c>
    </row>
    <row r="71">
      <c r="A71" s="21">
        <v>512.0</v>
      </c>
      <c r="B71" s="21">
        <v>6.577865626E9</v>
      </c>
      <c r="C71" s="21">
        <v>1.29599086E8</v>
      </c>
      <c r="D71" s="21">
        <v>19.702</v>
      </c>
    </row>
    <row r="72">
      <c r="A72" s="21">
        <v>1024.0</v>
      </c>
      <c r="B72" s="21">
        <v>5.2336715094E10</v>
      </c>
      <c r="C72" s="21">
        <v>1.002989371E9</v>
      </c>
      <c r="D72" s="21">
        <v>19.164</v>
      </c>
    </row>
    <row r="73">
      <c r="A73" s="21">
        <v>2048.0</v>
      </c>
      <c r="B73" s="21">
        <v>4.17570526398E11</v>
      </c>
      <c r="C73" s="21">
        <v>7.981422138E9</v>
      </c>
      <c r="D73" s="21">
        <v>19.113</v>
      </c>
    </row>
    <row r="74">
      <c r="A74" s="20" t="s">
        <v>0</v>
      </c>
      <c r="B74" s="20" t="s">
        <v>12</v>
      </c>
      <c r="C74" s="20" t="s">
        <v>13</v>
      </c>
      <c r="D74" s="20" t="s">
        <v>32</v>
      </c>
    </row>
    <row r="75">
      <c r="A75" s="21">
        <v>8.0</v>
      </c>
      <c r="B75" s="21">
        <v>1.6455547E7</v>
      </c>
      <c r="C75" s="21">
        <v>45326.0</v>
      </c>
      <c r="D75" s="21">
        <v>2.754</v>
      </c>
    </row>
    <row r="76">
      <c r="A76" s="21">
        <v>16.0</v>
      </c>
      <c r="B76" s="21">
        <v>1.6642441E7</v>
      </c>
      <c r="C76" s="21">
        <v>47607.0</v>
      </c>
      <c r="D76" s="21">
        <v>2.86</v>
      </c>
    </row>
    <row r="77">
      <c r="A77" s="21">
        <v>32.0</v>
      </c>
      <c r="B77" s="21">
        <v>1.6830229E7</v>
      </c>
      <c r="C77" s="21">
        <v>48763.0</v>
      </c>
      <c r="D77" s="21">
        <v>2.897</v>
      </c>
    </row>
    <row r="78">
      <c r="A78" s="21">
        <v>64.0</v>
      </c>
      <c r="B78" s="21">
        <v>1.7416994E7</v>
      </c>
      <c r="C78" s="21">
        <v>50503.0</v>
      </c>
      <c r="D78" s="21">
        <v>2.899</v>
      </c>
    </row>
    <row r="79">
      <c r="A79" s="21">
        <v>128.0</v>
      </c>
      <c r="B79" s="21">
        <v>1.0917274E8</v>
      </c>
      <c r="C79" s="21">
        <v>2527314.0</v>
      </c>
      <c r="D79" s="21">
        <v>23.149</v>
      </c>
    </row>
    <row r="80">
      <c r="A80" s="21">
        <v>256.0</v>
      </c>
      <c r="B80" s="21">
        <v>8.29702608E8</v>
      </c>
      <c r="C80" s="21">
        <v>2.3778374E7</v>
      </c>
      <c r="D80" s="21">
        <v>28.658</v>
      </c>
    </row>
    <row r="81">
      <c r="A81" s="21">
        <v>512.0</v>
      </c>
      <c r="B81" s="21">
        <v>6.545075492E9</v>
      </c>
      <c r="C81" s="21">
        <v>1.30902269E8</v>
      </c>
      <c r="D81" s="21">
        <v>20.0</v>
      </c>
    </row>
    <row r="82">
      <c r="A82" s="21">
        <v>1024.0</v>
      </c>
      <c r="B82" s="21">
        <v>5.2087749285E10</v>
      </c>
      <c r="C82" s="21">
        <v>1.042611383E9</v>
      </c>
      <c r="D82" s="21">
        <v>20.016</v>
      </c>
    </row>
    <row r="83">
      <c r="A83" s="21">
        <v>2048.0</v>
      </c>
      <c r="B83" s="21">
        <v>4.15551162202E11</v>
      </c>
      <c r="C83" s="21">
        <v>8.309524328E9</v>
      </c>
      <c r="D83" s="21">
        <v>19.996</v>
      </c>
    </row>
    <row r="84">
      <c r="A84" s="20" t="s">
        <v>0</v>
      </c>
      <c r="B84" s="20" t="s">
        <v>12</v>
      </c>
      <c r="C84" s="20" t="s">
        <v>13</v>
      </c>
      <c r="D84" s="20" t="s">
        <v>33</v>
      </c>
    </row>
    <row r="85">
      <c r="A85" s="21">
        <v>8.0</v>
      </c>
      <c r="B85" s="21">
        <v>1.04754225E8</v>
      </c>
      <c r="C85" s="21">
        <v>44757.0</v>
      </c>
      <c r="D85" s="21">
        <v>0.427</v>
      </c>
    </row>
    <row r="86">
      <c r="A86" s="21">
        <v>16.0</v>
      </c>
      <c r="B86" s="21">
        <v>1.04978803E8</v>
      </c>
      <c r="C86" s="21">
        <v>54265.0</v>
      </c>
      <c r="D86" s="21">
        <v>0.516</v>
      </c>
    </row>
    <row r="87">
      <c r="A87" s="21">
        <v>32.0</v>
      </c>
      <c r="B87" s="21">
        <v>1.05236223E8</v>
      </c>
      <c r="C87" s="21">
        <v>73855.0</v>
      </c>
      <c r="D87" s="21">
        <v>0.701</v>
      </c>
    </row>
    <row r="88">
      <c r="A88" s="21">
        <v>64.0</v>
      </c>
      <c r="B88" s="21">
        <v>1.05986808E8</v>
      </c>
      <c r="C88" s="21">
        <v>2328634.0</v>
      </c>
      <c r="D88" s="21">
        <v>21.97</v>
      </c>
    </row>
    <row r="89">
      <c r="A89" s="21">
        <v>128.0</v>
      </c>
      <c r="B89" s="21">
        <v>1.08768087E8</v>
      </c>
      <c r="C89" s="21">
        <v>2547687.0</v>
      </c>
      <c r="D89" s="21">
        <v>23.423</v>
      </c>
    </row>
    <row r="90">
      <c r="A90" s="21">
        <v>256.0</v>
      </c>
      <c r="B90" s="21">
        <v>8.27505662E8</v>
      </c>
      <c r="C90" s="21">
        <v>2.3129737E7</v>
      </c>
      <c r="D90" s="21">
        <v>27.951</v>
      </c>
    </row>
    <row r="91">
      <c r="A91" s="21">
        <v>512.0</v>
      </c>
      <c r="B91" s="21">
        <v>6.528774718E9</v>
      </c>
      <c r="C91" s="21">
        <v>1.33501166E8</v>
      </c>
      <c r="D91" s="21">
        <v>20.448</v>
      </c>
    </row>
    <row r="92">
      <c r="A92" s="21">
        <v>1024.0</v>
      </c>
      <c r="B92" s="21">
        <v>5.1946162754E10</v>
      </c>
      <c r="C92" s="21">
        <v>1.062164795E9</v>
      </c>
      <c r="D92" s="21">
        <v>20.447</v>
      </c>
    </row>
    <row r="93">
      <c r="A93" s="21">
        <v>2048.0</v>
      </c>
      <c r="B93" s="21">
        <v>4.14601806021E11</v>
      </c>
      <c r="C93" s="21">
        <v>8.55976412E9</v>
      </c>
      <c r="D93" s="21">
        <v>20.645</v>
      </c>
    </row>
    <row r="94">
      <c r="A94" s="22"/>
      <c r="B94" s="22"/>
      <c r="C94" s="22"/>
      <c r="D94" s="22"/>
    </row>
  </sheetData>
  <mergeCells count="1">
    <mergeCell ref="H1:L1"/>
  </mergeCells>
  <dataValidations>
    <dataValidation type="custom" allowBlank="1" showDropDown="1" sqref="A13:G18">
      <formula1>AND(ISNUMBER(A13),(NOT(OR(NOT(ISERROR(DATEVALUE(A13))), AND(ISNUMBER(A13), LEFT(CELL("format", A13))="D")))))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0</v>
      </c>
      <c r="B1" s="20" t="s">
        <v>12</v>
      </c>
      <c r="C1" s="20" t="s">
        <v>13</v>
      </c>
      <c r="D1" s="20" t="s">
        <v>26</v>
      </c>
      <c r="F1" s="20" t="s">
        <v>0</v>
      </c>
      <c r="G1" s="20" t="s">
        <v>27</v>
      </c>
    </row>
    <row r="2">
      <c r="A2" s="21">
        <v>8.0</v>
      </c>
      <c r="B2" s="21">
        <v>3816535.0</v>
      </c>
      <c r="C2" s="21">
        <v>43055.0</v>
      </c>
      <c r="D2" s="21">
        <v>11.281</v>
      </c>
      <c r="F2" s="21">
        <v>8.0</v>
      </c>
      <c r="G2" s="21">
        <v>0.0</v>
      </c>
    </row>
    <row r="3">
      <c r="A3" s="21">
        <v>16.0</v>
      </c>
      <c r="B3" s="21">
        <v>4071676.0</v>
      </c>
      <c r="C3" s="21">
        <v>43762.0</v>
      </c>
      <c r="D3" s="21">
        <v>10.747</v>
      </c>
      <c r="F3" s="21">
        <v>16.0</v>
      </c>
      <c r="G3" s="21">
        <v>0.0</v>
      </c>
    </row>
    <row r="4">
      <c r="A4" s="21">
        <v>32.0</v>
      </c>
      <c r="B4" s="21">
        <v>5578019.0</v>
      </c>
      <c r="C4" s="21">
        <v>44770.0</v>
      </c>
      <c r="D4" s="21">
        <v>8.026</v>
      </c>
      <c r="F4" s="21">
        <v>32.0</v>
      </c>
      <c r="G4" s="21">
        <v>0.0</v>
      </c>
    </row>
    <row r="5">
      <c r="A5" s="21">
        <v>64.0</v>
      </c>
      <c r="B5" s="21">
        <v>1.695024E7</v>
      </c>
      <c r="C5" s="21">
        <v>50619.0</v>
      </c>
      <c r="D5" s="21">
        <v>2.986</v>
      </c>
      <c r="F5" s="21">
        <v>64.0</v>
      </c>
      <c r="G5" s="21">
        <v>0.0</v>
      </c>
    </row>
    <row r="6">
      <c r="A6" s="21">
        <v>128.0</v>
      </c>
      <c r="B6" s="21">
        <v>1.04787479E8</v>
      </c>
      <c r="C6" s="21">
        <v>2596593.0</v>
      </c>
      <c r="D6" s="21">
        <v>24.779</v>
      </c>
      <c r="F6" s="21">
        <v>128.0</v>
      </c>
      <c r="G6" s="21">
        <v>7.0</v>
      </c>
    </row>
    <row r="7">
      <c r="A7" s="21">
        <v>256.0</v>
      </c>
      <c r="B7" s="21">
        <v>7.93203708E8</v>
      </c>
      <c r="C7" s="21">
        <v>1.952242E7</v>
      </c>
      <c r="D7" s="21">
        <v>24.612</v>
      </c>
      <c r="F7" s="21">
        <v>256.0</v>
      </c>
      <c r="G7" s="21">
        <v>63.0</v>
      </c>
    </row>
    <row r="8">
      <c r="A8" s="21">
        <v>512.0</v>
      </c>
      <c r="B8" s="21">
        <v>6.250991002E9</v>
      </c>
      <c r="C8" s="21">
        <v>1.35309646E8</v>
      </c>
      <c r="D8" s="21">
        <v>21.646</v>
      </c>
      <c r="F8" s="21">
        <v>512.0</v>
      </c>
      <c r="G8" s="21">
        <v>575.0</v>
      </c>
    </row>
    <row r="9">
      <c r="A9" s="21">
        <v>1024.0</v>
      </c>
      <c r="B9" s="21">
        <v>4.9757209326E10</v>
      </c>
      <c r="C9" s="21">
        <v>1.081662507E9</v>
      </c>
      <c r="D9" s="21">
        <v>21.738</v>
      </c>
      <c r="F9" s="21">
        <v>1024.0</v>
      </c>
      <c r="G9" s="21">
        <v>10659.0</v>
      </c>
    </row>
    <row r="10">
      <c r="A10" s="21">
        <v>2048.0</v>
      </c>
      <c r="B10" s="21">
        <v>3.97373533397E11</v>
      </c>
      <c r="C10" s="21">
        <v>1.0429257092E10</v>
      </c>
      <c r="D10" s="21">
        <v>26.245</v>
      </c>
      <c r="F10" s="21">
        <v>2048.0</v>
      </c>
      <c r="G10" s="21">
        <v>165434.0</v>
      </c>
    </row>
    <row r="11">
      <c r="A11" s="20" t="s">
        <v>0</v>
      </c>
      <c r="B11" s="20" t="s">
        <v>12</v>
      </c>
      <c r="C11" s="20" t="s">
        <v>13</v>
      </c>
      <c r="D11" s="20" t="s">
        <v>34</v>
      </c>
      <c r="F11" s="21" t="s">
        <v>35</v>
      </c>
      <c r="G11" s="20" t="s">
        <v>36</v>
      </c>
      <c r="H11" s="23" t="s">
        <v>37</v>
      </c>
    </row>
    <row r="12">
      <c r="A12" s="21">
        <v>8.0</v>
      </c>
      <c r="B12" s="21">
        <v>3816663.0</v>
      </c>
      <c r="C12" s="21">
        <v>43924.0</v>
      </c>
      <c r="D12" s="21">
        <v>11.508</v>
      </c>
      <c r="F12" s="21">
        <v>8.0</v>
      </c>
      <c r="G12" s="21">
        <v>0.0</v>
      </c>
      <c r="H12" s="29" t="str">
        <f t="shared" ref="H12:H20" si="1">G2/G12</f>
        <v>#DIV/0!</v>
      </c>
    </row>
    <row r="13">
      <c r="A13" s="21">
        <v>16.0</v>
      </c>
      <c r="B13" s="21">
        <v>3870954.0</v>
      </c>
      <c r="C13" s="21">
        <v>43308.0</v>
      </c>
      <c r="D13" s="21">
        <v>11.187</v>
      </c>
      <c r="F13" s="21">
        <v>16.0</v>
      </c>
      <c r="G13" s="21">
        <v>0.0</v>
      </c>
      <c r="H13" s="29" t="str">
        <f t="shared" si="1"/>
        <v>#DIV/0!</v>
      </c>
    </row>
    <row r="14">
      <c r="A14" s="21">
        <v>32.0</v>
      </c>
      <c r="B14" s="21">
        <v>4206534.0</v>
      </c>
      <c r="C14" s="21">
        <v>43908.0</v>
      </c>
      <c r="D14" s="21">
        <v>10.438</v>
      </c>
      <c r="F14" s="21">
        <v>32.0</v>
      </c>
      <c r="G14" s="21">
        <v>0.0</v>
      </c>
      <c r="H14" s="29" t="str">
        <f t="shared" si="1"/>
        <v>#DIV/0!</v>
      </c>
    </row>
    <row r="15">
      <c r="A15" s="21">
        <v>64.0</v>
      </c>
      <c r="B15" s="21">
        <v>6259417.0</v>
      </c>
      <c r="C15" s="21">
        <v>53204.0</v>
      </c>
      <c r="D15" s="21">
        <v>8.499</v>
      </c>
      <c r="F15" s="21">
        <v>64.0</v>
      </c>
      <c r="G15" s="21">
        <v>0.0</v>
      </c>
      <c r="H15" s="29" t="str">
        <f t="shared" si="1"/>
        <v>#DIV/0!</v>
      </c>
    </row>
    <row r="16">
      <c r="A16" s="21">
        <v>128.0</v>
      </c>
      <c r="B16" s="21">
        <v>1.9448859E7</v>
      </c>
      <c r="C16" s="21">
        <v>591369.0</v>
      </c>
      <c r="D16" s="21">
        <v>30.406</v>
      </c>
      <c r="F16" s="21">
        <v>128.0</v>
      </c>
      <c r="G16" s="21">
        <v>4.0</v>
      </c>
      <c r="H16" s="29">
        <f t="shared" si="1"/>
        <v>1.75</v>
      </c>
    </row>
    <row r="17">
      <c r="A17" s="21">
        <v>256.0</v>
      </c>
      <c r="B17" s="21">
        <v>1.12395981E8</v>
      </c>
      <c r="C17" s="21">
        <v>4351853.0</v>
      </c>
      <c r="D17" s="21">
        <v>38.718</v>
      </c>
      <c r="F17" s="21">
        <v>256.0</v>
      </c>
      <c r="G17" s="21">
        <v>42.0</v>
      </c>
      <c r="H17" s="29">
        <f t="shared" si="1"/>
        <v>1.5</v>
      </c>
    </row>
    <row r="18">
      <c r="A18" s="21">
        <v>512.0</v>
      </c>
      <c r="B18" s="21">
        <v>8.07594093E8</v>
      </c>
      <c r="C18" s="21">
        <v>3.4457335E7</v>
      </c>
      <c r="D18" s="21">
        <v>42.666</v>
      </c>
      <c r="F18" s="21">
        <v>512.0</v>
      </c>
      <c r="G18" s="21">
        <v>351.0</v>
      </c>
      <c r="H18" s="29">
        <f t="shared" si="1"/>
        <v>1.638176638</v>
      </c>
    </row>
    <row r="19">
      <c r="A19" s="21">
        <v>1024.0</v>
      </c>
      <c r="B19" s="21">
        <v>6.179364362E9</v>
      </c>
      <c r="C19" s="21">
        <v>2.75243388E8</v>
      </c>
      <c r="D19" s="21">
        <v>44.542</v>
      </c>
      <c r="F19" s="21">
        <v>1024.0</v>
      </c>
      <c r="G19" s="21">
        <v>5247.0</v>
      </c>
      <c r="H19" s="29">
        <f t="shared" si="1"/>
        <v>2.031446541</v>
      </c>
    </row>
    <row r="20">
      <c r="A20" s="21">
        <v>2048.0</v>
      </c>
      <c r="B20" s="21">
        <v>4.8480396827E10</v>
      </c>
      <c r="C20" s="21">
        <v>2.608110508E9</v>
      </c>
      <c r="D20" s="21">
        <v>53.797</v>
      </c>
      <c r="F20" s="21">
        <v>2048.0</v>
      </c>
      <c r="G20" s="21">
        <v>71849.0</v>
      </c>
      <c r="H20" s="29">
        <f t="shared" si="1"/>
        <v>2.302523348</v>
      </c>
    </row>
    <row r="21">
      <c r="A21" s="22"/>
      <c r="B21" s="22"/>
      <c r="C21" s="22"/>
      <c r="D21" s="22"/>
      <c r="F21" s="22"/>
      <c r="G21" s="22"/>
    </row>
    <row r="22">
      <c r="A22" s="22"/>
      <c r="B22" s="22"/>
      <c r="C22" s="22"/>
      <c r="D22" s="22"/>
      <c r="F22" s="20" t="s">
        <v>0</v>
      </c>
      <c r="G22" s="20" t="s">
        <v>38</v>
      </c>
      <c r="H22" s="23" t="s">
        <v>39</v>
      </c>
    </row>
    <row r="23">
      <c r="A23" s="20" t="s">
        <v>0</v>
      </c>
      <c r="B23" s="20" t="s">
        <v>12</v>
      </c>
      <c r="C23" s="20" t="s">
        <v>13</v>
      </c>
      <c r="D23" s="20" t="s">
        <v>40</v>
      </c>
      <c r="F23" s="21">
        <v>8.0</v>
      </c>
      <c r="G23" s="21">
        <v>0.0</v>
      </c>
      <c r="H23" s="29" t="str">
        <f t="shared" ref="H23:H31" si="2">G2/G23</f>
        <v>#DIV/0!</v>
      </c>
    </row>
    <row r="24">
      <c r="A24" s="21">
        <v>8.0</v>
      </c>
      <c r="B24" s="21">
        <v>3809742.0</v>
      </c>
      <c r="C24" s="21">
        <v>44067.0</v>
      </c>
      <c r="D24" s="21">
        <v>11.566</v>
      </c>
      <c r="F24" s="21">
        <v>16.0</v>
      </c>
      <c r="G24" s="21">
        <v>0.0</v>
      </c>
      <c r="H24" s="29" t="str">
        <f t="shared" si="2"/>
        <v>#DIV/0!</v>
      </c>
    </row>
    <row r="25">
      <c r="A25" s="21">
        <v>16.0</v>
      </c>
      <c r="B25" s="21">
        <v>3946014.0</v>
      </c>
      <c r="C25" s="21">
        <v>43998.0</v>
      </c>
      <c r="D25" s="21">
        <v>11.149</v>
      </c>
      <c r="F25" s="21">
        <v>32.0</v>
      </c>
      <c r="G25" s="21">
        <v>0.0</v>
      </c>
      <c r="H25" s="29" t="str">
        <f t="shared" si="2"/>
        <v>#DIV/0!</v>
      </c>
    </row>
    <row r="26">
      <c r="A26" s="21">
        <v>32.0</v>
      </c>
      <c r="B26" s="21">
        <v>4420480.0</v>
      </c>
      <c r="C26" s="21">
        <v>45658.0</v>
      </c>
      <c r="D26" s="21">
        <v>10.328</v>
      </c>
      <c r="F26" s="21">
        <v>64.0</v>
      </c>
      <c r="G26" s="21">
        <v>0.0</v>
      </c>
      <c r="H26" s="29" t="str">
        <f t="shared" si="2"/>
        <v>#DIV/0!</v>
      </c>
    </row>
    <row r="27">
      <c r="A27" s="21">
        <v>64.0</v>
      </c>
      <c r="B27" s="21">
        <v>7527021.0</v>
      </c>
      <c r="C27" s="21">
        <v>53688.0</v>
      </c>
      <c r="D27" s="21">
        <v>7.132</v>
      </c>
      <c r="F27" s="21">
        <v>128.0</v>
      </c>
      <c r="G27" s="21">
        <v>2.0</v>
      </c>
      <c r="H27" s="29">
        <f t="shared" si="2"/>
        <v>3.5</v>
      </c>
    </row>
    <row r="28">
      <c r="A28" s="21">
        <v>128.0</v>
      </c>
      <c r="B28" s="21">
        <v>2.9554456E7</v>
      </c>
      <c r="C28" s="21">
        <v>914994.0</v>
      </c>
      <c r="D28" s="21">
        <v>30.959</v>
      </c>
      <c r="F28" s="21">
        <v>256.0</v>
      </c>
      <c r="G28" s="21">
        <v>21.0</v>
      </c>
      <c r="H28" s="29">
        <f t="shared" si="2"/>
        <v>3</v>
      </c>
    </row>
    <row r="29">
      <c r="A29" s="21">
        <v>256.0</v>
      </c>
      <c r="B29" s="21">
        <v>1.92777988E8</v>
      </c>
      <c r="C29" s="21">
        <v>7019611.0</v>
      </c>
      <c r="D29" s="21">
        <v>36.412</v>
      </c>
      <c r="F29" s="21">
        <v>512.0</v>
      </c>
      <c r="G29" s="21">
        <v>193.0</v>
      </c>
      <c r="H29" s="29">
        <f t="shared" si="2"/>
        <v>2.979274611</v>
      </c>
    </row>
    <row r="30">
      <c r="A30" s="21">
        <v>512.0</v>
      </c>
      <c r="B30" s="21">
        <v>1.448018193E9</v>
      </c>
      <c r="C30" s="21">
        <v>5.1375953E7</v>
      </c>
      <c r="D30" s="21">
        <v>35.48</v>
      </c>
      <c r="F30" s="21">
        <v>1024.0</v>
      </c>
      <c r="G30" s="21">
        <v>3552.0</v>
      </c>
      <c r="H30" s="29">
        <f t="shared" si="2"/>
        <v>3.000844595</v>
      </c>
    </row>
    <row r="31">
      <c r="A31" s="21">
        <v>1024.0</v>
      </c>
      <c r="B31" s="21">
        <v>1.1304376163E10</v>
      </c>
      <c r="C31" s="21">
        <v>4.10783009E8</v>
      </c>
      <c r="D31" s="21">
        <v>36.338</v>
      </c>
      <c r="F31" s="21">
        <v>2048.0</v>
      </c>
      <c r="G31" s="21">
        <v>40657.0</v>
      </c>
      <c r="H31" s="29">
        <f t="shared" si="2"/>
        <v>4.069016406</v>
      </c>
    </row>
    <row r="32">
      <c r="A32" s="21">
        <v>2048.0</v>
      </c>
      <c r="B32" s="21">
        <v>8.9474233887E10</v>
      </c>
      <c r="C32" s="21">
        <v>3.923146494E9</v>
      </c>
      <c r="D32" s="21">
        <v>43.846</v>
      </c>
      <c r="F32" s="22"/>
      <c r="G32" s="22"/>
    </row>
    <row r="33">
      <c r="A33" s="22"/>
      <c r="B33" s="22"/>
      <c r="C33" s="22"/>
      <c r="D33" s="22"/>
      <c r="F33" s="22"/>
      <c r="G33" s="22"/>
    </row>
    <row r="34">
      <c r="A34" s="20" t="s">
        <v>0</v>
      </c>
      <c r="B34" s="20" t="s">
        <v>12</v>
      </c>
      <c r="C34" s="20" t="s">
        <v>13</v>
      </c>
      <c r="D34" s="20" t="s">
        <v>41</v>
      </c>
      <c r="F34" s="20" t="s">
        <v>0</v>
      </c>
      <c r="G34" s="20" t="s">
        <v>42</v>
      </c>
      <c r="H34" s="23" t="s">
        <v>43</v>
      </c>
    </row>
    <row r="35">
      <c r="A35" s="21">
        <v>8.0</v>
      </c>
      <c r="B35" s="21">
        <v>3746187.0</v>
      </c>
      <c r="C35" s="21">
        <v>43174.0</v>
      </c>
      <c r="D35" s="21">
        <v>11.524</v>
      </c>
      <c r="F35" s="21">
        <v>8.0</v>
      </c>
      <c r="G35" s="21">
        <v>0.0</v>
      </c>
      <c r="H35" s="29" t="str">
        <f t="shared" ref="H35:H43" si="3">G2/G35</f>
        <v>#DIV/0!</v>
      </c>
    </row>
    <row r="36">
      <c r="A36" s="21">
        <v>16.0</v>
      </c>
      <c r="B36" s="21">
        <v>3854159.0</v>
      </c>
      <c r="C36" s="21">
        <v>43606.0</v>
      </c>
      <c r="D36" s="21">
        <v>11.314</v>
      </c>
      <c r="F36" s="21">
        <v>16.0</v>
      </c>
      <c r="G36" s="21">
        <v>0.0</v>
      </c>
      <c r="H36" s="29" t="str">
        <f t="shared" si="3"/>
        <v>#DIV/0!</v>
      </c>
    </row>
    <row r="37">
      <c r="A37" s="21">
        <v>32.0</v>
      </c>
      <c r="B37" s="21">
        <v>4679028.0</v>
      </c>
      <c r="C37" s="21">
        <v>45154.0</v>
      </c>
      <c r="D37" s="21">
        <v>9.65</v>
      </c>
      <c r="F37" s="21">
        <v>32.0</v>
      </c>
      <c r="G37" s="21">
        <v>0.0</v>
      </c>
      <c r="H37" s="29" t="str">
        <f t="shared" si="3"/>
        <v>#DIV/0!</v>
      </c>
    </row>
    <row r="38">
      <c r="A38" s="21">
        <v>64.0</v>
      </c>
      <c r="B38" s="21">
        <v>1.0228256E7</v>
      </c>
      <c r="C38" s="21">
        <v>49556.0</v>
      </c>
      <c r="D38" s="21">
        <v>4.845</v>
      </c>
      <c r="F38" s="21">
        <v>64.0</v>
      </c>
      <c r="G38" s="21">
        <v>0.0</v>
      </c>
      <c r="H38" s="29" t="str">
        <f t="shared" si="3"/>
        <v>#DIV/0!</v>
      </c>
    </row>
    <row r="39">
      <c r="A39" s="21">
        <v>128.0</v>
      </c>
      <c r="B39" s="21">
        <v>5.1190839E7</v>
      </c>
      <c r="C39" s="21">
        <v>1352371.0</v>
      </c>
      <c r="D39" s="21">
        <v>26.418</v>
      </c>
      <c r="F39" s="21">
        <v>128.0</v>
      </c>
      <c r="G39" s="21">
        <v>1.0</v>
      </c>
      <c r="H39" s="29">
        <f t="shared" si="3"/>
        <v>7</v>
      </c>
    </row>
    <row r="40">
      <c r="A40" s="21">
        <v>256.0</v>
      </c>
      <c r="B40" s="21">
        <v>3.65166508E8</v>
      </c>
      <c r="C40" s="21">
        <v>1.07375E7</v>
      </c>
      <c r="D40" s="21">
        <v>29.404</v>
      </c>
      <c r="F40" s="21">
        <v>256.0</v>
      </c>
      <c r="G40" s="21">
        <v>13.0</v>
      </c>
      <c r="H40" s="29">
        <f t="shared" si="3"/>
        <v>4.846153846</v>
      </c>
    </row>
    <row r="41">
      <c r="A41" s="21">
        <v>512.0</v>
      </c>
      <c r="B41" s="21">
        <v>2.826007241E9</v>
      </c>
      <c r="C41" s="21">
        <v>6.7867326E7</v>
      </c>
      <c r="D41" s="21">
        <v>24.015</v>
      </c>
      <c r="F41" s="21">
        <v>512.0</v>
      </c>
      <c r="G41" s="21">
        <v>120.0</v>
      </c>
      <c r="H41" s="29">
        <f t="shared" si="3"/>
        <v>4.791666667</v>
      </c>
    </row>
    <row r="42">
      <c r="A42" s="21">
        <v>1024.0</v>
      </c>
      <c r="B42" s="21">
        <v>2.2320794201E10</v>
      </c>
      <c r="C42" s="21">
        <v>5.42492859E8</v>
      </c>
      <c r="D42" s="21">
        <v>24.304</v>
      </c>
      <c r="F42" s="21">
        <v>1024.0</v>
      </c>
      <c r="G42" s="21">
        <v>1746.0</v>
      </c>
      <c r="H42" s="29">
        <f t="shared" si="3"/>
        <v>6.104810997</v>
      </c>
    </row>
    <row r="43">
      <c r="A43" s="21">
        <v>2048.0</v>
      </c>
      <c r="B43" s="21">
        <v>1.77727935468E11</v>
      </c>
      <c r="C43" s="21">
        <v>5.469575451E9</v>
      </c>
      <c r="D43" s="21">
        <v>30.774</v>
      </c>
      <c r="F43" s="21">
        <v>2048.0</v>
      </c>
      <c r="G43" s="21">
        <v>25689.0</v>
      </c>
      <c r="H43" s="29">
        <f t="shared" si="3"/>
        <v>6.43987699</v>
      </c>
    </row>
    <row r="44">
      <c r="A44" s="22"/>
      <c r="B44" s="22"/>
      <c r="C44" s="22"/>
      <c r="D44" s="22"/>
      <c r="F44" s="22"/>
    </row>
    <row r="45">
      <c r="A45" s="22"/>
      <c r="B45" s="22"/>
      <c r="C45" s="22"/>
      <c r="D45" s="22"/>
    </row>
    <row r="46">
      <c r="A46" s="22"/>
      <c r="B46" s="22"/>
      <c r="C46" s="22"/>
      <c r="D46" s="22"/>
    </row>
    <row r="47">
      <c r="A47" s="22"/>
      <c r="B47" s="22"/>
      <c r="C47" s="22"/>
      <c r="D47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6" width="12.63"/>
  </cols>
  <sheetData>
    <row r="1">
      <c r="A1" s="30" t="s">
        <v>0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  <c r="H1" s="3" t="s">
        <v>50</v>
      </c>
      <c r="I1" s="3" t="s">
        <v>51</v>
      </c>
      <c r="J1" s="3" t="s">
        <v>52</v>
      </c>
      <c r="K1" s="3" t="s">
        <v>53</v>
      </c>
      <c r="L1" s="3" t="s">
        <v>54</v>
      </c>
      <c r="M1" s="3" t="s">
        <v>55</v>
      </c>
      <c r="N1" s="3" t="s">
        <v>56</v>
      </c>
      <c r="O1" s="3" t="s">
        <v>57</v>
      </c>
      <c r="P1" s="3" t="s">
        <v>58</v>
      </c>
      <c r="Q1" s="3" t="s">
        <v>59</v>
      </c>
      <c r="R1" s="4" t="s">
        <v>60</v>
      </c>
      <c r="S1" s="5" t="s">
        <v>61</v>
      </c>
      <c r="T1" s="30" t="s">
        <v>62</v>
      </c>
      <c r="U1" s="3" t="s">
        <v>46</v>
      </c>
      <c r="V1" s="3" t="s">
        <v>47</v>
      </c>
      <c r="W1" s="3" t="s">
        <v>48</v>
      </c>
      <c r="X1" s="3" t="s">
        <v>49</v>
      </c>
      <c r="Y1" s="3" t="s">
        <v>50</v>
      </c>
      <c r="Z1" s="3" t="s">
        <v>51</v>
      </c>
      <c r="AA1" s="3" t="s">
        <v>52</v>
      </c>
      <c r="AB1" s="3" t="s">
        <v>53</v>
      </c>
      <c r="AC1" s="3" t="s">
        <v>54</v>
      </c>
      <c r="AD1" s="3" t="s">
        <v>55</v>
      </c>
      <c r="AE1" s="3" t="s">
        <v>56</v>
      </c>
      <c r="AF1" s="3" t="s">
        <v>57</v>
      </c>
      <c r="AG1" s="3" t="s">
        <v>58</v>
      </c>
      <c r="AH1" s="3" t="s">
        <v>59</v>
      </c>
      <c r="AI1" s="3" t="s">
        <v>63</v>
      </c>
      <c r="AJ1" s="3" t="s">
        <v>64</v>
      </c>
      <c r="AK1" s="31" t="s">
        <v>65</v>
      </c>
    </row>
    <row r="2">
      <c r="A2" s="32">
        <v>128.0</v>
      </c>
      <c r="B2" s="8">
        <v>7.0</v>
      </c>
      <c r="C2" s="8">
        <v>7.0</v>
      </c>
      <c r="D2" s="8">
        <v>19.0</v>
      </c>
      <c r="E2" s="8">
        <v>5.0</v>
      </c>
      <c r="F2" s="8">
        <v>9.0</v>
      </c>
      <c r="G2" s="8">
        <v>1.0</v>
      </c>
      <c r="H2" s="8">
        <v>1.0</v>
      </c>
      <c r="I2" s="8">
        <v>3.0</v>
      </c>
      <c r="J2" s="8">
        <v>2.0</v>
      </c>
      <c r="K2" s="33">
        <v>2.0</v>
      </c>
      <c r="L2" s="33">
        <v>1.0</v>
      </c>
      <c r="M2" s="33">
        <v>1.0</v>
      </c>
      <c r="N2" s="33">
        <v>1.0</v>
      </c>
      <c r="O2" s="33">
        <v>1.0</v>
      </c>
      <c r="P2" s="33">
        <v>1.0</v>
      </c>
      <c r="Q2" s="33">
        <v>1.0</v>
      </c>
      <c r="R2" s="34">
        <v>5.0</v>
      </c>
      <c r="S2" s="35">
        <v>4.0</v>
      </c>
      <c r="T2" s="36">
        <f t="shared" ref="T2:T7" si="1">B2/C2</f>
        <v>1</v>
      </c>
      <c r="U2" s="37">
        <f t="shared" ref="U2:U7" si="2">B2/D2</f>
        <v>0.3684210526</v>
      </c>
      <c r="V2" s="37">
        <f t="shared" ref="V2:V7" si="3">B2/E2</f>
        <v>1.4</v>
      </c>
      <c r="W2" s="37">
        <f t="shared" ref="W2:W7" si="4">B2/F2</f>
        <v>0.7777777778</v>
      </c>
      <c r="X2" s="37">
        <f t="shared" ref="X2:X7" si="5">B2/G2</f>
        <v>7</v>
      </c>
      <c r="Y2" s="37">
        <f t="shared" ref="Y2:Y7" si="6">B2/H2</f>
        <v>7</v>
      </c>
      <c r="Z2" s="37">
        <f t="shared" ref="Z2:Z7" si="7">B2/I2</f>
        <v>2.333333333</v>
      </c>
      <c r="AA2" s="37">
        <f t="shared" ref="AA2:AA7" si="8">B2/J2</f>
        <v>3.5</v>
      </c>
      <c r="AB2" s="38">
        <f t="shared" ref="AB2:AB7" si="9">B2/K2</f>
        <v>3.5</v>
      </c>
      <c r="AC2" s="38">
        <f t="shared" ref="AC2:AC7" si="10">B2/L2</f>
        <v>7</v>
      </c>
      <c r="AD2" s="38">
        <f t="shared" ref="AD2:AD7" si="11">B2/M2</f>
        <v>7</v>
      </c>
      <c r="AE2" s="38">
        <f t="shared" ref="AE2:AE7" si="12">B2/N2</f>
        <v>7</v>
      </c>
      <c r="AF2" s="38">
        <f t="shared" ref="AF2:AF7" si="13">B2/O2</f>
        <v>7</v>
      </c>
      <c r="AG2" s="38">
        <f t="shared" ref="AG2:AG7" si="14">B2/P2</f>
        <v>7</v>
      </c>
      <c r="AH2" s="38">
        <f t="shared" ref="AH2:AH7" si="15">B2/Q2</f>
        <v>7</v>
      </c>
      <c r="AI2" s="38">
        <f t="shared" ref="AI2:AI7" si="16">B2/R2</f>
        <v>1.4</v>
      </c>
      <c r="AJ2" s="38">
        <f t="shared" ref="AJ2:AJ7" si="17">B2/S2</f>
        <v>1.75</v>
      </c>
      <c r="AK2" s="39">
        <v>1.75</v>
      </c>
    </row>
    <row r="3">
      <c r="A3" s="40">
        <v>256.0</v>
      </c>
      <c r="B3" s="12">
        <v>61.0</v>
      </c>
      <c r="C3" s="12">
        <v>47.0</v>
      </c>
      <c r="D3" s="12">
        <v>92.0</v>
      </c>
      <c r="E3" s="12">
        <v>30.0</v>
      </c>
      <c r="F3" s="12">
        <v>51.0</v>
      </c>
      <c r="G3" s="12">
        <v>12.0</v>
      </c>
      <c r="H3" s="12">
        <v>12.0</v>
      </c>
      <c r="I3" s="12">
        <v>21.0</v>
      </c>
      <c r="J3" s="12">
        <v>21.0</v>
      </c>
      <c r="K3" s="41">
        <v>21.0</v>
      </c>
      <c r="L3" s="41">
        <v>11.0</v>
      </c>
      <c r="M3" s="41">
        <v>12.0</v>
      </c>
      <c r="N3" s="41">
        <v>12.0</v>
      </c>
      <c r="O3" s="41">
        <v>12.0</v>
      </c>
      <c r="P3" s="41">
        <v>14.0</v>
      </c>
      <c r="Q3" s="41">
        <v>14.0</v>
      </c>
      <c r="R3" s="34">
        <v>44.0</v>
      </c>
      <c r="S3" s="35">
        <v>42.0</v>
      </c>
      <c r="T3" s="42">
        <f t="shared" si="1"/>
        <v>1.29787234</v>
      </c>
      <c r="U3" s="43">
        <f t="shared" si="2"/>
        <v>0.6630434783</v>
      </c>
      <c r="V3" s="43">
        <f t="shared" si="3"/>
        <v>2.033333333</v>
      </c>
      <c r="W3" s="43">
        <f t="shared" si="4"/>
        <v>1.196078431</v>
      </c>
      <c r="X3" s="43">
        <f t="shared" si="5"/>
        <v>5.083333333</v>
      </c>
      <c r="Y3" s="43">
        <f t="shared" si="6"/>
        <v>5.083333333</v>
      </c>
      <c r="Z3" s="43">
        <f t="shared" si="7"/>
        <v>2.904761905</v>
      </c>
      <c r="AA3" s="43">
        <f t="shared" si="8"/>
        <v>2.904761905</v>
      </c>
      <c r="AB3" s="44">
        <f t="shared" si="9"/>
        <v>2.904761905</v>
      </c>
      <c r="AC3" s="44">
        <f t="shared" si="10"/>
        <v>5.545454545</v>
      </c>
      <c r="AD3" s="44">
        <f t="shared" si="11"/>
        <v>5.083333333</v>
      </c>
      <c r="AE3" s="44">
        <f t="shared" si="12"/>
        <v>5.083333333</v>
      </c>
      <c r="AF3" s="44">
        <f t="shared" si="13"/>
        <v>5.083333333</v>
      </c>
      <c r="AG3" s="44">
        <f t="shared" si="14"/>
        <v>4.357142857</v>
      </c>
      <c r="AH3" s="44">
        <f t="shared" si="15"/>
        <v>4.357142857</v>
      </c>
      <c r="AI3" s="44">
        <f t="shared" si="16"/>
        <v>1.386363636</v>
      </c>
      <c r="AJ3" s="44">
        <f t="shared" si="17"/>
        <v>1.452380952</v>
      </c>
      <c r="AK3" s="45">
        <v>1.575</v>
      </c>
    </row>
    <row r="4">
      <c r="A4" s="32">
        <v>512.0</v>
      </c>
      <c r="B4" s="8">
        <v>554.0</v>
      </c>
      <c r="C4" s="8">
        <v>374.0</v>
      </c>
      <c r="D4" s="8">
        <v>536.0</v>
      </c>
      <c r="E4" s="8">
        <v>183.0</v>
      </c>
      <c r="F4" s="8">
        <v>261.0</v>
      </c>
      <c r="G4" s="8">
        <v>105.0</v>
      </c>
      <c r="H4" s="8">
        <v>109.0</v>
      </c>
      <c r="I4" s="8">
        <v>171.0</v>
      </c>
      <c r="J4" s="8">
        <v>187.0</v>
      </c>
      <c r="K4" s="33">
        <v>192.0</v>
      </c>
      <c r="L4" s="33">
        <v>105.0</v>
      </c>
      <c r="M4" s="33">
        <v>104.0</v>
      </c>
      <c r="N4" s="33">
        <v>101.0</v>
      </c>
      <c r="O4" s="33">
        <v>99.0</v>
      </c>
      <c r="P4" s="33">
        <v>114.0</v>
      </c>
      <c r="Q4" s="33">
        <v>112.0</v>
      </c>
      <c r="R4" s="34">
        <v>353.0</v>
      </c>
      <c r="S4" s="35">
        <v>351.0</v>
      </c>
      <c r="T4" s="36">
        <f t="shared" si="1"/>
        <v>1.481283422</v>
      </c>
      <c r="U4" s="37">
        <f t="shared" si="2"/>
        <v>1.03358209</v>
      </c>
      <c r="V4" s="37">
        <f t="shared" si="3"/>
        <v>3.027322404</v>
      </c>
      <c r="W4" s="37">
        <f t="shared" si="4"/>
        <v>2.122605364</v>
      </c>
      <c r="X4" s="37">
        <f t="shared" si="5"/>
        <v>5.276190476</v>
      </c>
      <c r="Y4" s="37">
        <f t="shared" si="6"/>
        <v>5.082568807</v>
      </c>
      <c r="Z4" s="37">
        <f t="shared" si="7"/>
        <v>3.239766082</v>
      </c>
      <c r="AA4" s="37">
        <f t="shared" si="8"/>
        <v>2.962566845</v>
      </c>
      <c r="AB4" s="38">
        <f t="shared" si="9"/>
        <v>2.885416667</v>
      </c>
      <c r="AC4" s="38">
        <f t="shared" si="10"/>
        <v>5.276190476</v>
      </c>
      <c r="AD4" s="38">
        <f t="shared" si="11"/>
        <v>5.326923077</v>
      </c>
      <c r="AE4" s="38">
        <f t="shared" si="12"/>
        <v>5.485148515</v>
      </c>
      <c r="AF4" s="38">
        <f t="shared" si="13"/>
        <v>5.595959596</v>
      </c>
      <c r="AG4" s="38">
        <f t="shared" si="14"/>
        <v>4.859649123</v>
      </c>
      <c r="AH4" s="38">
        <f t="shared" si="15"/>
        <v>4.946428571</v>
      </c>
      <c r="AI4" s="38">
        <f t="shared" si="16"/>
        <v>1.569405099</v>
      </c>
      <c r="AJ4" s="38">
        <f t="shared" si="17"/>
        <v>1.578347578</v>
      </c>
      <c r="AK4" s="39">
        <v>1.796875</v>
      </c>
    </row>
    <row r="5">
      <c r="A5" s="40">
        <v>1024.0</v>
      </c>
      <c r="B5" s="12">
        <v>8086.0</v>
      </c>
      <c r="C5" s="12">
        <v>2951.0</v>
      </c>
      <c r="D5" s="12">
        <v>4360.0</v>
      </c>
      <c r="E5" s="12">
        <v>1603.0</v>
      </c>
      <c r="F5" s="12">
        <v>2659.0</v>
      </c>
      <c r="G5" s="12">
        <v>954.0</v>
      </c>
      <c r="H5" s="12">
        <v>999.0</v>
      </c>
      <c r="I5" s="12">
        <v>1874.0</v>
      </c>
      <c r="J5" s="12">
        <v>1637.0</v>
      </c>
      <c r="K5" s="41">
        <v>1720.0</v>
      </c>
      <c r="L5" s="41">
        <v>913.0</v>
      </c>
      <c r="M5" s="41">
        <v>836.0</v>
      </c>
      <c r="N5" s="41">
        <v>827.0</v>
      </c>
      <c r="O5" s="41">
        <v>775.0</v>
      </c>
      <c r="P5" s="41">
        <v>982.0</v>
      </c>
      <c r="Q5" s="41">
        <v>976.0</v>
      </c>
      <c r="R5" s="34">
        <v>2818.0</v>
      </c>
      <c r="S5" s="35">
        <v>5247.0</v>
      </c>
      <c r="T5" s="42">
        <f t="shared" si="1"/>
        <v>2.740088106</v>
      </c>
      <c r="U5" s="43">
        <f t="shared" si="2"/>
        <v>1.854587156</v>
      </c>
      <c r="V5" s="43">
        <f t="shared" si="3"/>
        <v>5.044291953</v>
      </c>
      <c r="W5" s="43">
        <f t="shared" si="4"/>
        <v>3.040992854</v>
      </c>
      <c r="X5" s="43">
        <f t="shared" si="5"/>
        <v>8.475890985</v>
      </c>
      <c r="Y5" s="43">
        <f t="shared" si="6"/>
        <v>8.094094094</v>
      </c>
      <c r="Z5" s="43">
        <f t="shared" si="7"/>
        <v>4.314834578</v>
      </c>
      <c r="AA5" s="43">
        <f t="shared" si="8"/>
        <v>4.939523519</v>
      </c>
      <c r="AB5" s="44">
        <f t="shared" si="9"/>
        <v>4.701162791</v>
      </c>
      <c r="AC5" s="44">
        <f t="shared" si="10"/>
        <v>8.856516977</v>
      </c>
      <c r="AD5" s="44">
        <f t="shared" si="11"/>
        <v>9.672248804</v>
      </c>
      <c r="AE5" s="44">
        <f t="shared" si="12"/>
        <v>9.777509069</v>
      </c>
      <c r="AF5" s="44">
        <f t="shared" si="13"/>
        <v>10.43354839</v>
      </c>
      <c r="AG5" s="44">
        <f t="shared" si="14"/>
        <v>8.234215886</v>
      </c>
      <c r="AH5" s="44">
        <f t="shared" si="15"/>
        <v>8.284836066</v>
      </c>
      <c r="AI5" s="44">
        <f t="shared" si="16"/>
        <v>2.86941093</v>
      </c>
      <c r="AJ5" s="44">
        <f t="shared" si="17"/>
        <v>1.541071088</v>
      </c>
      <c r="AK5" s="45">
        <v>3.553</v>
      </c>
    </row>
    <row r="6">
      <c r="A6" s="32">
        <v>2048.0</v>
      </c>
      <c r="B6" s="8">
        <v>148166.0</v>
      </c>
      <c r="C6" s="8">
        <v>23597.0</v>
      </c>
      <c r="D6" s="8">
        <v>33139.0</v>
      </c>
      <c r="E6" s="8">
        <v>10474.0</v>
      </c>
      <c r="F6" s="8">
        <v>17241.0</v>
      </c>
      <c r="G6" s="8">
        <v>8892.0</v>
      </c>
      <c r="H6" s="8">
        <v>9208.0</v>
      </c>
      <c r="I6" s="8">
        <v>14850.0</v>
      </c>
      <c r="J6" s="8">
        <v>14005.0</v>
      </c>
      <c r="K6" s="33">
        <v>13587.0</v>
      </c>
      <c r="L6" s="33">
        <v>8275.0</v>
      </c>
      <c r="M6" s="33">
        <v>6984.0</v>
      </c>
      <c r="N6" s="33">
        <v>6428.0</v>
      </c>
      <c r="O6" s="33">
        <v>6545.0</v>
      </c>
      <c r="P6" s="33">
        <v>8342.0</v>
      </c>
      <c r="Q6" s="33">
        <v>7113.0</v>
      </c>
      <c r="R6" s="34">
        <v>21683.0</v>
      </c>
      <c r="S6" s="35">
        <v>71849.0</v>
      </c>
      <c r="T6" s="36">
        <f t="shared" si="1"/>
        <v>6.279018519</v>
      </c>
      <c r="U6" s="37">
        <f t="shared" si="2"/>
        <v>4.471046199</v>
      </c>
      <c r="V6" s="37">
        <f t="shared" si="3"/>
        <v>14.146076</v>
      </c>
      <c r="W6" s="37">
        <f t="shared" si="4"/>
        <v>8.593817064</v>
      </c>
      <c r="X6" s="37">
        <f t="shared" si="5"/>
        <v>16.662843</v>
      </c>
      <c r="Y6" s="37">
        <f t="shared" si="6"/>
        <v>16.09100782</v>
      </c>
      <c r="Z6" s="37">
        <f t="shared" si="7"/>
        <v>9.977508418</v>
      </c>
      <c r="AA6" s="37">
        <f t="shared" si="8"/>
        <v>10.57950732</v>
      </c>
      <c r="AB6" s="38">
        <f t="shared" si="9"/>
        <v>10.9049827</v>
      </c>
      <c r="AC6" s="38">
        <f t="shared" si="10"/>
        <v>17.9052568</v>
      </c>
      <c r="AD6" s="38">
        <f t="shared" si="11"/>
        <v>21.215063</v>
      </c>
      <c r="AE6" s="38">
        <f t="shared" si="12"/>
        <v>23.05009334</v>
      </c>
      <c r="AF6" s="38">
        <f t="shared" si="13"/>
        <v>22.63804431</v>
      </c>
      <c r="AG6" s="38">
        <f t="shared" si="14"/>
        <v>17.76144809</v>
      </c>
      <c r="AH6" s="38">
        <f t="shared" si="15"/>
        <v>20.8303107</v>
      </c>
      <c r="AI6" s="38">
        <f t="shared" si="16"/>
        <v>6.833279528</v>
      </c>
      <c r="AJ6" s="38">
        <f t="shared" si="17"/>
        <v>2.062185973</v>
      </c>
      <c r="AK6" s="39">
        <v>6.362846153846154</v>
      </c>
    </row>
    <row r="7">
      <c r="A7" s="46">
        <v>4096.0</v>
      </c>
      <c r="B7" s="47">
        <v>1600000.0</v>
      </c>
      <c r="C7" s="48"/>
      <c r="D7" s="48"/>
      <c r="E7" s="48"/>
      <c r="F7" s="48"/>
      <c r="G7" s="48"/>
      <c r="H7" s="48"/>
      <c r="I7" s="48"/>
      <c r="J7" s="48"/>
      <c r="K7" s="48"/>
      <c r="L7" s="48">
        <v>62110.0</v>
      </c>
      <c r="M7" s="48">
        <v>55675.0</v>
      </c>
      <c r="N7" s="48">
        <v>88370.0</v>
      </c>
      <c r="O7" s="48">
        <v>68444.0</v>
      </c>
      <c r="P7" s="48">
        <v>64477.0</v>
      </c>
      <c r="Q7" s="48">
        <v>88563.0</v>
      </c>
      <c r="R7" s="18"/>
      <c r="S7" s="19"/>
      <c r="T7" s="49" t="str">
        <f t="shared" si="1"/>
        <v>#DIV/0!</v>
      </c>
      <c r="U7" s="50" t="str">
        <f t="shared" si="2"/>
        <v>#DIV/0!</v>
      </c>
      <c r="V7" s="50" t="str">
        <f t="shared" si="3"/>
        <v>#DIV/0!</v>
      </c>
      <c r="W7" s="50" t="str">
        <f t="shared" si="4"/>
        <v>#DIV/0!</v>
      </c>
      <c r="X7" s="50" t="str">
        <f t="shared" si="5"/>
        <v>#DIV/0!</v>
      </c>
      <c r="Y7" s="50" t="str">
        <f t="shared" si="6"/>
        <v>#DIV/0!</v>
      </c>
      <c r="Z7" s="50" t="str">
        <f t="shared" si="7"/>
        <v>#DIV/0!</v>
      </c>
      <c r="AA7" s="50" t="str">
        <f t="shared" si="8"/>
        <v>#DIV/0!</v>
      </c>
      <c r="AB7" s="51" t="str">
        <f t="shared" si="9"/>
        <v>#DIV/0!</v>
      </c>
      <c r="AC7" s="51">
        <f t="shared" si="10"/>
        <v>25.76074706</v>
      </c>
      <c r="AD7" s="51">
        <f t="shared" si="11"/>
        <v>28.73821284</v>
      </c>
      <c r="AE7" s="51">
        <f t="shared" si="12"/>
        <v>18.10569198</v>
      </c>
      <c r="AF7" s="51">
        <f t="shared" si="13"/>
        <v>23.37677517</v>
      </c>
      <c r="AG7" s="51">
        <f t="shared" si="14"/>
        <v>24.81505033</v>
      </c>
      <c r="AH7" s="51">
        <f t="shared" si="15"/>
        <v>18.06623534</v>
      </c>
      <c r="AI7" s="51" t="str">
        <f t="shared" si="16"/>
        <v>#DIV/0!</v>
      </c>
      <c r="AJ7" s="51" t="str">
        <f t="shared" si="17"/>
        <v>#DIV/0!</v>
      </c>
      <c r="AK7" s="52">
        <v>8.0</v>
      </c>
    </row>
    <row r="9">
      <c r="O9" s="21">
        <v>128.0</v>
      </c>
      <c r="P9" s="21">
        <v>5.0</v>
      </c>
    </row>
    <row r="10">
      <c r="O10" s="21">
        <v>256.0</v>
      </c>
      <c r="P10" s="21">
        <v>44.0</v>
      </c>
    </row>
    <row r="11">
      <c r="O11" s="21">
        <v>512.0</v>
      </c>
      <c r="P11" s="21">
        <v>353.0</v>
      </c>
    </row>
    <row r="12">
      <c r="O12" s="21">
        <v>1024.0</v>
      </c>
      <c r="P12" s="21">
        <v>2818.0</v>
      </c>
    </row>
    <row r="13">
      <c r="O13" s="21">
        <v>2048.0</v>
      </c>
      <c r="P13" s="21">
        <v>21683.0</v>
      </c>
    </row>
    <row r="21">
      <c r="AE21" s="21">
        <v>30.406</v>
      </c>
    </row>
    <row r="22">
      <c r="AE22" s="21">
        <v>38.718</v>
      </c>
    </row>
    <row r="23">
      <c r="AE23" s="21">
        <v>42.666</v>
      </c>
    </row>
    <row r="24">
      <c r="AE24" s="21">
        <v>44.542</v>
      </c>
    </row>
    <row r="25">
      <c r="AE25" s="21">
        <v>53.797</v>
      </c>
    </row>
  </sheetData>
  <dataValidations>
    <dataValidation type="custom" allowBlank="1" showDropDown="1" sqref="U2:AA7 A2:J7">
      <formula1>AND(ISNUMBER(A2),(NOT(OR(NOT(ISERROR(DATEVALUE(A2))), AND(ISNUMBER(A2), LEFT(CELL("format", A2))="D")))))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66</v>
      </c>
      <c r="C1" s="23" t="s">
        <v>67</v>
      </c>
      <c r="D1" s="23" t="s">
        <v>68</v>
      </c>
      <c r="E1" s="23" t="s">
        <v>69</v>
      </c>
      <c r="F1" s="23" t="s">
        <v>70</v>
      </c>
      <c r="G1" s="23" t="s">
        <v>71</v>
      </c>
      <c r="H1" s="23" t="s">
        <v>72</v>
      </c>
      <c r="I1" s="23" t="s">
        <v>73</v>
      </c>
      <c r="J1" s="23" t="s">
        <v>74</v>
      </c>
      <c r="K1" s="23" t="s">
        <v>75</v>
      </c>
      <c r="L1" s="23" t="s">
        <v>76</v>
      </c>
      <c r="M1" s="23" t="s">
        <v>77</v>
      </c>
      <c r="N1" s="23" t="s">
        <v>78</v>
      </c>
      <c r="O1" s="23" t="s">
        <v>79</v>
      </c>
      <c r="P1" s="23" t="s">
        <v>80</v>
      </c>
      <c r="Q1" s="23" t="s">
        <v>81</v>
      </c>
      <c r="R1" s="23" t="s">
        <v>82</v>
      </c>
      <c r="S1" s="23" t="s">
        <v>83</v>
      </c>
      <c r="T1" s="23" t="s">
        <v>84</v>
      </c>
      <c r="U1" s="23" t="s">
        <v>85</v>
      </c>
      <c r="V1" s="23" t="s">
        <v>86</v>
      </c>
    </row>
    <row r="2">
      <c r="A2" s="23">
        <v>512.0</v>
      </c>
      <c r="B2" s="23" t="s">
        <v>87</v>
      </c>
      <c r="C2" s="23">
        <v>170.0</v>
      </c>
      <c r="D2" s="23">
        <v>1.21</v>
      </c>
      <c r="E2" s="23">
        <v>1.15</v>
      </c>
      <c r="F2" s="23">
        <v>1.12</v>
      </c>
      <c r="G2" s="23">
        <v>0.93</v>
      </c>
      <c r="H2" s="23">
        <v>1.84</v>
      </c>
      <c r="I2" s="23">
        <v>0.72</v>
      </c>
      <c r="J2" s="23">
        <v>1.01</v>
      </c>
      <c r="K2" s="23">
        <v>1.11</v>
      </c>
      <c r="L2" s="23">
        <v>1.35</v>
      </c>
      <c r="M2" s="23">
        <v>1.69</v>
      </c>
      <c r="N2" s="23">
        <v>1.4</v>
      </c>
      <c r="O2" s="23">
        <v>1.21</v>
      </c>
      <c r="P2" s="23">
        <v>1.14</v>
      </c>
      <c r="Q2" s="23">
        <v>1.99</v>
      </c>
      <c r="R2" s="23">
        <v>1044.0</v>
      </c>
      <c r="S2" s="23">
        <v>482.0</v>
      </c>
      <c r="T2" s="23">
        <v>862.0</v>
      </c>
      <c r="U2" s="23">
        <v>634.0</v>
      </c>
      <c r="V2" s="23">
        <v>533.0</v>
      </c>
    </row>
    <row r="3">
      <c r="A3" s="23">
        <v>512.0</v>
      </c>
      <c r="B3" s="23" t="s">
        <v>88</v>
      </c>
      <c r="R3" s="23">
        <v>1025.0</v>
      </c>
      <c r="S3" s="23">
        <v>475.0</v>
      </c>
      <c r="T3" s="23">
        <v>863.0</v>
      </c>
      <c r="U3" s="23">
        <v>630.0</v>
      </c>
      <c r="V3" s="23">
        <v>531.0</v>
      </c>
    </row>
    <row r="9">
      <c r="A9" s="23" t="s">
        <v>68</v>
      </c>
      <c r="B9" s="23">
        <v>1.21</v>
      </c>
      <c r="H9" s="23">
        <v>2.0</v>
      </c>
      <c r="I9" s="23">
        <v>0.72</v>
      </c>
      <c r="N9" s="29" t="s">
        <v>68</v>
      </c>
      <c r="O9" s="29">
        <v>1.21</v>
      </c>
      <c r="U9" s="53" t="s">
        <v>89</v>
      </c>
      <c r="V9" s="53" t="s">
        <v>87</v>
      </c>
      <c r="W9" s="53" t="s">
        <v>88</v>
      </c>
    </row>
    <row r="10">
      <c r="A10" s="23" t="s">
        <v>69</v>
      </c>
      <c r="B10" s="23">
        <v>1.15</v>
      </c>
      <c r="H10" s="23">
        <v>4.0</v>
      </c>
      <c r="I10" s="23">
        <v>1.01</v>
      </c>
      <c r="N10" s="29" t="s">
        <v>72</v>
      </c>
      <c r="O10" s="29">
        <v>1.84</v>
      </c>
      <c r="U10" s="54" t="s">
        <v>82</v>
      </c>
      <c r="V10" s="55">
        <v>1044.0</v>
      </c>
      <c r="W10" s="55">
        <v>1025.0</v>
      </c>
    </row>
    <row r="11">
      <c r="A11" s="23" t="s">
        <v>70</v>
      </c>
      <c r="B11" s="23">
        <v>1.12</v>
      </c>
      <c r="H11" s="23">
        <v>8.0</v>
      </c>
      <c r="I11" s="23">
        <v>1.11</v>
      </c>
      <c r="N11" s="29" t="s">
        <v>77</v>
      </c>
      <c r="O11" s="29">
        <v>1.69</v>
      </c>
      <c r="U11" s="54" t="s">
        <v>83</v>
      </c>
      <c r="V11" s="55">
        <v>482.0</v>
      </c>
      <c r="W11" s="55">
        <v>475.0</v>
      </c>
    </row>
    <row r="12">
      <c r="A12" s="23" t="s">
        <v>71</v>
      </c>
      <c r="B12" s="23">
        <v>0.93</v>
      </c>
      <c r="H12" s="23">
        <v>16.0</v>
      </c>
      <c r="I12" s="23">
        <v>1.35</v>
      </c>
      <c r="N12" s="29" t="s">
        <v>81</v>
      </c>
      <c r="O12" s="29">
        <v>1.99</v>
      </c>
      <c r="U12" s="54" t="s">
        <v>85</v>
      </c>
      <c r="V12" s="55">
        <v>634.0</v>
      </c>
      <c r="W12" s="55">
        <v>630.0</v>
      </c>
    </row>
    <row r="13">
      <c r="H13" s="23">
        <v>32.0</v>
      </c>
      <c r="I13" s="23">
        <v>1.69</v>
      </c>
      <c r="U13" s="54" t="s">
        <v>84</v>
      </c>
      <c r="V13" s="55">
        <v>862.0</v>
      </c>
      <c r="W13" s="55">
        <v>863.0</v>
      </c>
    </row>
    <row r="14">
      <c r="H14" s="23">
        <v>64.0</v>
      </c>
      <c r="I14" s="23">
        <v>1.4</v>
      </c>
      <c r="U14" s="54" t="s">
        <v>86</v>
      </c>
      <c r="V14" s="55">
        <v>533.0</v>
      </c>
      <c r="W14" s="55">
        <v>531.0</v>
      </c>
    </row>
    <row r="15">
      <c r="H15" s="23">
        <v>128.0</v>
      </c>
      <c r="I15" s="23">
        <v>1.21</v>
      </c>
    </row>
    <row r="16">
      <c r="H16" s="23">
        <v>256.0</v>
      </c>
      <c r="I16" s="23">
        <v>1.14</v>
      </c>
    </row>
  </sheetData>
  <dataValidations>
    <dataValidation type="list" allowBlank="1" showErrorMessage="1" sqref="B2:B3">
      <formula1>"Yes,No"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90</v>
      </c>
      <c r="B1" s="20" t="s">
        <v>91</v>
      </c>
      <c r="C1" s="20">
        <v>720.0</v>
      </c>
      <c r="D1" s="20" t="s">
        <v>92</v>
      </c>
      <c r="E1" s="20" t="s">
        <v>93</v>
      </c>
      <c r="F1" s="20" t="s">
        <v>94</v>
      </c>
      <c r="N1" s="20" t="s">
        <v>90</v>
      </c>
      <c r="O1" s="20" t="s">
        <v>91</v>
      </c>
      <c r="P1" s="20">
        <v>720.0</v>
      </c>
      <c r="Q1" s="20" t="s">
        <v>92</v>
      </c>
      <c r="R1" s="20" t="s">
        <v>93</v>
      </c>
      <c r="S1" s="20" t="s">
        <v>95</v>
      </c>
      <c r="T1" s="20"/>
      <c r="U1" s="20"/>
      <c r="X1" s="20" t="s">
        <v>96</v>
      </c>
      <c r="Y1" s="20" t="s">
        <v>91</v>
      </c>
      <c r="Z1" s="20">
        <v>720.0</v>
      </c>
      <c r="AA1" s="20" t="s">
        <v>92</v>
      </c>
      <c r="AB1" s="20" t="s">
        <v>93</v>
      </c>
      <c r="AC1" s="20" t="s">
        <v>97</v>
      </c>
      <c r="AD1" s="20"/>
      <c r="AE1" s="20"/>
    </row>
    <row r="2">
      <c r="A2" s="56"/>
      <c r="B2" s="56"/>
      <c r="C2" s="56"/>
      <c r="D2" s="56"/>
      <c r="E2" s="56"/>
      <c r="F2" s="56"/>
      <c r="N2" s="20" t="s">
        <v>98</v>
      </c>
      <c r="O2" s="20" t="s">
        <v>91</v>
      </c>
      <c r="P2" s="20" t="s">
        <v>99</v>
      </c>
      <c r="Q2" s="20" t="s">
        <v>100</v>
      </c>
      <c r="R2" s="20" t="s">
        <v>101</v>
      </c>
      <c r="S2" s="20" t="s">
        <v>102</v>
      </c>
      <c r="T2" s="20"/>
      <c r="U2" s="20" t="s">
        <v>103</v>
      </c>
      <c r="X2" s="56"/>
      <c r="Y2" s="56"/>
      <c r="Z2" s="56"/>
      <c r="AA2" s="56"/>
      <c r="AB2" s="56"/>
      <c r="AC2" s="56"/>
      <c r="AD2" s="56"/>
      <c r="AE2" s="56"/>
    </row>
    <row r="3">
      <c r="A3" s="20" t="s">
        <v>98</v>
      </c>
      <c r="B3" s="20" t="s">
        <v>99</v>
      </c>
      <c r="C3" s="20" t="s">
        <v>100</v>
      </c>
      <c r="D3" s="20" t="s">
        <v>104</v>
      </c>
      <c r="E3" s="20" t="s">
        <v>102</v>
      </c>
      <c r="F3" s="20" t="s">
        <v>105</v>
      </c>
      <c r="N3" s="20">
        <v>10000.0</v>
      </c>
      <c r="O3" s="20">
        <v>128.0</v>
      </c>
      <c r="P3" s="20">
        <v>8.0</v>
      </c>
      <c r="Q3" s="20">
        <v>1000.0</v>
      </c>
      <c r="R3" s="20">
        <v>954.0</v>
      </c>
      <c r="S3" s="20">
        <v>1.048</v>
      </c>
      <c r="T3" s="20" t="str">
        <f t="shared" ref="T3:T42" si="1">N3 &amp; "," &amp; P3</f>
        <v>10000,8</v>
      </c>
      <c r="U3" s="20"/>
      <c r="X3" s="56"/>
      <c r="Y3" s="56"/>
      <c r="Z3" s="56"/>
      <c r="AA3" s="56"/>
      <c r="AB3" s="56"/>
      <c r="AC3" s="56"/>
      <c r="AD3" s="56"/>
      <c r="AE3" s="56"/>
    </row>
    <row r="4">
      <c r="A4" s="20">
        <v>10000.0</v>
      </c>
      <c r="B4" s="20">
        <v>128.0</v>
      </c>
      <c r="C4" s="20">
        <v>8.0</v>
      </c>
      <c r="D4" s="20">
        <v>548.0</v>
      </c>
      <c r="E4" s="20">
        <v>692.0</v>
      </c>
      <c r="F4" s="20">
        <v>0.792</v>
      </c>
      <c r="G4" s="29" t="str">
        <f t="shared" ref="G4:G85" si="2">A4 &amp; "," &amp; C4</f>
        <v>10000,8</v>
      </c>
      <c r="N4" s="20">
        <v>32128.0</v>
      </c>
      <c r="O4" s="20">
        <v>128.0</v>
      </c>
      <c r="P4" s="20">
        <v>8.0</v>
      </c>
      <c r="Q4" s="20">
        <v>849.0</v>
      </c>
      <c r="R4" s="20">
        <v>815.0</v>
      </c>
      <c r="S4" s="20">
        <v>1.042</v>
      </c>
      <c r="T4" s="20" t="str">
        <f t="shared" si="1"/>
        <v>32128,8</v>
      </c>
      <c r="U4" s="20"/>
      <c r="X4" s="20" t="s">
        <v>98</v>
      </c>
      <c r="Y4" s="20" t="s">
        <v>91</v>
      </c>
      <c r="Z4" s="20" t="s">
        <v>99</v>
      </c>
      <c r="AA4" s="20" t="s">
        <v>100</v>
      </c>
      <c r="AB4" s="20" t="s">
        <v>101</v>
      </c>
      <c r="AC4" s="20" t="s">
        <v>102</v>
      </c>
      <c r="AD4" s="20"/>
      <c r="AE4" s="20"/>
    </row>
    <row r="5">
      <c r="A5" s="20">
        <v>32128.0</v>
      </c>
      <c r="B5" s="20">
        <v>128.0</v>
      </c>
      <c r="C5" s="20">
        <v>8.0</v>
      </c>
      <c r="D5" s="20">
        <v>678.0</v>
      </c>
      <c r="E5" s="20">
        <v>696.0</v>
      </c>
      <c r="F5" s="20">
        <v>0.974</v>
      </c>
      <c r="G5" s="29" t="str">
        <f t="shared" si="2"/>
        <v>32128,8</v>
      </c>
      <c r="N5" s="20">
        <v>50000.0</v>
      </c>
      <c r="O5" s="20">
        <v>128.0</v>
      </c>
      <c r="P5" s="20">
        <v>8.0</v>
      </c>
      <c r="Q5" s="20">
        <v>883.0</v>
      </c>
      <c r="R5" s="20">
        <v>794.0</v>
      </c>
      <c r="S5" s="20">
        <v>1.112</v>
      </c>
      <c r="T5" s="20" t="str">
        <f t="shared" si="1"/>
        <v>50000,8</v>
      </c>
      <c r="U5" s="20"/>
      <c r="X5" s="20">
        <v>10000.0</v>
      </c>
      <c r="Y5" s="20">
        <v>128.0</v>
      </c>
      <c r="Z5" s="20">
        <v>8.0</v>
      </c>
      <c r="AA5" s="20">
        <v>583.0</v>
      </c>
      <c r="AB5" s="20">
        <v>746.0</v>
      </c>
      <c r="AC5" s="20">
        <v>0.782</v>
      </c>
      <c r="AD5" s="20" t="str">
        <f t="shared" ref="AD5:AD85" si="3">X5 &amp; "," &amp; Z5</f>
        <v>10000,8</v>
      </c>
      <c r="AE5" s="20"/>
    </row>
    <row r="6">
      <c r="A6" s="20">
        <v>50000.0</v>
      </c>
      <c r="B6" s="20">
        <v>128.0</v>
      </c>
      <c r="C6" s="20">
        <v>8.0</v>
      </c>
      <c r="D6" s="20">
        <v>719.0</v>
      </c>
      <c r="E6" s="20">
        <v>706.0</v>
      </c>
      <c r="F6" s="20">
        <v>1.018</v>
      </c>
      <c r="G6" s="29" t="str">
        <f t="shared" si="2"/>
        <v>50000,8</v>
      </c>
      <c r="N6" s="20">
        <v>100000.0</v>
      </c>
      <c r="O6" s="20">
        <v>128.0</v>
      </c>
      <c r="P6" s="20">
        <v>8.0</v>
      </c>
      <c r="Q6" s="20">
        <v>1072.0</v>
      </c>
      <c r="R6" s="20">
        <v>1077.0</v>
      </c>
      <c r="S6" s="20">
        <v>0.995</v>
      </c>
      <c r="T6" s="20" t="str">
        <f t="shared" si="1"/>
        <v>100000,8</v>
      </c>
      <c r="U6" s="20"/>
      <c r="X6" s="20">
        <v>32128.0</v>
      </c>
      <c r="Y6" s="20">
        <v>128.0</v>
      </c>
      <c r="Z6" s="20">
        <v>8.0</v>
      </c>
      <c r="AA6" s="20">
        <v>677.0</v>
      </c>
      <c r="AB6" s="20">
        <v>694.0</v>
      </c>
      <c r="AC6" s="20">
        <v>0.976</v>
      </c>
      <c r="AD6" s="20" t="str">
        <f t="shared" si="3"/>
        <v>32128,8</v>
      </c>
      <c r="AE6" s="20"/>
    </row>
    <row r="7">
      <c r="A7" s="20">
        <v>100000.0</v>
      </c>
      <c r="B7" s="20">
        <v>128.0</v>
      </c>
      <c r="C7" s="20">
        <v>8.0</v>
      </c>
      <c r="D7" s="20">
        <v>722.0</v>
      </c>
      <c r="E7" s="20">
        <v>702.0</v>
      </c>
      <c r="F7" s="20">
        <v>1.028</v>
      </c>
      <c r="G7" s="29" t="str">
        <f t="shared" si="2"/>
        <v>100000,8</v>
      </c>
      <c r="N7" s="20">
        <v>300000.0</v>
      </c>
      <c r="O7" s="20">
        <v>128.0</v>
      </c>
      <c r="P7" s="20">
        <v>8.0</v>
      </c>
      <c r="Q7" s="20">
        <v>928.0</v>
      </c>
      <c r="R7" s="20">
        <v>812.0</v>
      </c>
      <c r="S7" s="20">
        <v>1.143</v>
      </c>
      <c r="T7" s="20" t="str">
        <f t="shared" si="1"/>
        <v>300000,8</v>
      </c>
      <c r="U7" s="20"/>
      <c r="X7" s="20">
        <v>50000.0</v>
      </c>
      <c r="Y7" s="20">
        <v>128.0</v>
      </c>
      <c r="Z7" s="20">
        <v>8.0</v>
      </c>
      <c r="AA7" s="20">
        <v>882.0</v>
      </c>
      <c r="AB7" s="20">
        <v>742.0</v>
      </c>
      <c r="AC7" s="20">
        <v>1.189</v>
      </c>
      <c r="AD7" s="20" t="str">
        <f t="shared" si="3"/>
        <v>50000,8</v>
      </c>
      <c r="AE7" s="20"/>
    </row>
    <row r="8">
      <c r="A8" s="20">
        <v>300000.0</v>
      </c>
      <c r="B8" s="20">
        <v>128.0</v>
      </c>
      <c r="C8" s="20">
        <v>8.0</v>
      </c>
      <c r="D8" s="20">
        <v>969.0</v>
      </c>
      <c r="E8" s="20">
        <v>717.0</v>
      </c>
      <c r="F8" s="20">
        <v>1.351</v>
      </c>
      <c r="G8" s="29" t="str">
        <f t="shared" si="2"/>
        <v>300000,8</v>
      </c>
      <c r="N8" s="20">
        <v>500000.0</v>
      </c>
      <c r="O8" s="20">
        <v>128.0</v>
      </c>
      <c r="P8" s="20">
        <v>8.0</v>
      </c>
      <c r="Q8" s="20">
        <v>934.0</v>
      </c>
      <c r="R8" s="20">
        <v>803.0</v>
      </c>
      <c r="S8" s="20">
        <v>1.163</v>
      </c>
      <c r="T8" s="20" t="str">
        <f t="shared" si="1"/>
        <v>500000,8</v>
      </c>
      <c r="U8" s="20"/>
      <c r="X8" s="20">
        <v>100000.0</v>
      </c>
      <c r="Y8" s="20">
        <v>128.0</v>
      </c>
      <c r="Z8" s="20">
        <v>8.0</v>
      </c>
      <c r="AA8" s="20">
        <v>727.0</v>
      </c>
      <c r="AB8" s="20">
        <v>799.0</v>
      </c>
      <c r="AC8" s="20">
        <v>0.91</v>
      </c>
      <c r="AD8" s="20" t="str">
        <f t="shared" si="3"/>
        <v>100000,8</v>
      </c>
      <c r="AE8" s="20"/>
    </row>
    <row r="9">
      <c r="A9" s="20">
        <v>500000.0</v>
      </c>
      <c r="B9" s="20">
        <v>128.0</v>
      </c>
      <c r="C9" s="20">
        <v>8.0</v>
      </c>
      <c r="D9" s="20">
        <v>761.0</v>
      </c>
      <c r="E9" s="20">
        <v>706.0</v>
      </c>
      <c r="F9" s="20">
        <v>1.078</v>
      </c>
      <c r="G9" s="29" t="str">
        <f t="shared" si="2"/>
        <v>500000,8</v>
      </c>
      <c r="N9" s="20">
        <v>1000000.0</v>
      </c>
      <c r="O9" s="20">
        <v>128.0</v>
      </c>
      <c r="P9" s="20">
        <v>8.0</v>
      </c>
      <c r="Q9" s="20">
        <v>1197.0</v>
      </c>
      <c r="R9" s="20">
        <v>1274.0</v>
      </c>
      <c r="S9" s="20">
        <v>0.94</v>
      </c>
      <c r="T9" s="20" t="str">
        <f t="shared" si="1"/>
        <v>1000000,8</v>
      </c>
      <c r="U9" s="20"/>
      <c r="X9" s="20">
        <v>300000.0</v>
      </c>
      <c r="Y9" s="20">
        <v>128.0</v>
      </c>
      <c r="Z9" s="20">
        <v>8.0</v>
      </c>
      <c r="AA9" s="20">
        <v>833.0</v>
      </c>
      <c r="AB9" s="20">
        <v>707.0</v>
      </c>
      <c r="AC9" s="20">
        <v>1.178</v>
      </c>
      <c r="AD9" s="20" t="str">
        <f t="shared" si="3"/>
        <v>300000,8</v>
      </c>
      <c r="AE9" s="20"/>
    </row>
    <row r="10">
      <c r="A10" s="20">
        <v>1000000.0</v>
      </c>
      <c r="B10" s="20">
        <v>128.0</v>
      </c>
      <c r="C10" s="20">
        <v>8.0</v>
      </c>
      <c r="D10" s="20">
        <v>767.0</v>
      </c>
      <c r="E10" s="20">
        <v>715.0</v>
      </c>
      <c r="F10" s="20">
        <v>1.073</v>
      </c>
      <c r="G10" s="29" t="str">
        <f t="shared" si="2"/>
        <v>1000000,8</v>
      </c>
      <c r="N10" s="20">
        <v>2000000.0</v>
      </c>
      <c r="O10" s="20">
        <v>128.0</v>
      </c>
      <c r="P10" s="20">
        <v>8.0</v>
      </c>
      <c r="Q10" s="20">
        <v>1035.0</v>
      </c>
      <c r="R10" s="20">
        <v>888.0</v>
      </c>
      <c r="S10" s="20">
        <v>1.166</v>
      </c>
      <c r="T10" s="20" t="str">
        <f t="shared" si="1"/>
        <v>2000000,8</v>
      </c>
      <c r="U10" s="20"/>
      <c r="X10" s="20">
        <v>500000.0</v>
      </c>
      <c r="Y10" s="20">
        <v>128.0</v>
      </c>
      <c r="Z10" s="20">
        <v>8.0</v>
      </c>
      <c r="AA10" s="20">
        <v>755.0</v>
      </c>
      <c r="AB10" s="20">
        <v>703.0</v>
      </c>
      <c r="AC10" s="20">
        <v>1.074</v>
      </c>
      <c r="AD10" s="20" t="str">
        <f t="shared" si="3"/>
        <v>500000,8</v>
      </c>
      <c r="AE10" s="20"/>
    </row>
    <row r="11">
      <c r="A11" s="20">
        <v>2000000.0</v>
      </c>
      <c r="B11" s="20">
        <v>128.0</v>
      </c>
      <c r="C11" s="20">
        <v>8.0</v>
      </c>
      <c r="D11" s="20">
        <v>781.0</v>
      </c>
      <c r="E11" s="20">
        <v>746.0</v>
      </c>
      <c r="F11" s="20">
        <v>1.047</v>
      </c>
      <c r="G11" s="29" t="str">
        <f t="shared" si="2"/>
        <v>2000000,8</v>
      </c>
      <c r="N11" s="20">
        <v>10000.0</v>
      </c>
      <c r="O11" s="20">
        <v>128.0</v>
      </c>
      <c r="P11" s="20">
        <v>16.0</v>
      </c>
      <c r="Q11" s="20">
        <v>748.0</v>
      </c>
      <c r="R11" s="20">
        <v>592.0</v>
      </c>
      <c r="S11" s="20">
        <v>1.264</v>
      </c>
      <c r="T11" s="20" t="str">
        <f t="shared" si="1"/>
        <v>10000,16</v>
      </c>
      <c r="U11" s="20"/>
      <c r="X11" s="20">
        <v>1000000.0</v>
      </c>
      <c r="Y11" s="20">
        <v>128.0</v>
      </c>
      <c r="Z11" s="20">
        <v>8.0</v>
      </c>
      <c r="AA11" s="20">
        <v>778.0</v>
      </c>
      <c r="AB11" s="20">
        <v>738.0</v>
      </c>
      <c r="AC11" s="20">
        <v>1.054</v>
      </c>
      <c r="AD11" s="20" t="str">
        <f t="shared" si="3"/>
        <v>1000000,8</v>
      </c>
      <c r="AE11" s="20"/>
    </row>
    <row r="12">
      <c r="A12" s="20">
        <v>10000.0</v>
      </c>
      <c r="B12" s="20">
        <v>128.0</v>
      </c>
      <c r="C12" s="20">
        <v>16.0</v>
      </c>
      <c r="D12" s="20">
        <v>796.0</v>
      </c>
      <c r="E12" s="20">
        <v>583.0</v>
      </c>
      <c r="F12" s="20">
        <v>1.365</v>
      </c>
      <c r="G12" s="29" t="str">
        <f t="shared" si="2"/>
        <v>10000,16</v>
      </c>
      <c r="N12" s="20">
        <v>32128.0</v>
      </c>
      <c r="O12" s="20">
        <v>128.0</v>
      </c>
      <c r="P12" s="20">
        <v>16.0</v>
      </c>
      <c r="Q12" s="20">
        <v>947.0</v>
      </c>
      <c r="R12" s="20">
        <v>597.0</v>
      </c>
      <c r="S12" s="20">
        <v>1.586</v>
      </c>
      <c r="T12" s="20" t="str">
        <f t="shared" si="1"/>
        <v>32128,16</v>
      </c>
      <c r="U12" s="20"/>
      <c r="X12" s="20">
        <v>2000000.0</v>
      </c>
      <c r="Y12" s="20">
        <v>128.0</v>
      </c>
      <c r="Z12" s="20">
        <v>8.0</v>
      </c>
      <c r="AA12" s="20">
        <v>754.0</v>
      </c>
      <c r="AB12" s="20">
        <v>737.0</v>
      </c>
      <c r="AC12" s="20">
        <v>1.023</v>
      </c>
      <c r="AD12" s="20" t="str">
        <f t="shared" si="3"/>
        <v>2000000,8</v>
      </c>
      <c r="AE12" s="20"/>
    </row>
    <row r="13">
      <c r="A13" s="20">
        <v>32128.0</v>
      </c>
      <c r="B13" s="20">
        <v>128.0</v>
      </c>
      <c r="C13" s="20">
        <v>16.0</v>
      </c>
      <c r="D13" s="20">
        <v>934.0</v>
      </c>
      <c r="E13" s="20">
        <v>614.0</v>
      </c>
      <c r="F13" s="20">
        <v>1.521</v>
      </c>
      <c r="G13" s="29" t="str">
        <f t="shared" si="2"/>
        <v>32128,16</v>
      </c>
      <c r="N13" s="20">
        <v>50000.0</v>
      </c>
      <c r="O13" s="20">
        <v>128.0</v>
      </c>
      <c r="P13" s="20">
        <v>16.0</v>
      </c>
      <c r="Q13" s="20">
        <v>1028.0</v>
      </c>
      <c r="R13" s="20">
        <v>590.0</v>
      </c>
      <c r="S13" s="20">
        <v>1.742</v>
      </c>
      <c r="T13" s="20" t="str">
        <f t="shared" si="1"/>
        <v>50000,16</v>
      </c>
      <c r="U13" s="20"/>
      <c r="X13" s="20">
        <v>10000.0</v>
      </c>
      <c r="Y13" s="20">
        <v>128.0</v>
      </c>
      <c r="Z13" s="20">
        <v>16.0</v>
      </c>
      <c r="AA13" s="20">
        <v>690.0</v>
      </c>
      <c r="AB13" s="20">
        <v>529.0</v>
      </c>
      <c r="AC13" s="20">
        <v>1.304</v>
      </c>
      <c r="AD13" s="20" t="str">
        <f t="shared" si="3"/>
        <v>10000,16</v>
      </c>
      <c r="AE13" s="20"/>
    </row>
    <row r="14">
      <c r="A14" s="20">
        <v>50000.0</v>
      </c>
      <c r="B14" s="20">
        <v>128.0</v>
      </c>
      <c r="C14" s="20">
        <v>16.0</v>
      </c>
      <c r="D14" s="20">
        <v>724.0</v>
      </c>
      <c r="E14" s="20">
        <v>479.0</v>
      </c>
      <c r="F14" s="20">
        <v>1.511</v>
      </c>
      <c r="G14" s="29" t="str">
        <f t="shared" si="2"/>
        <v>50000,16</v>
      </c>
      <c r="N14" s="20">
        <v>100000.0</v>
      </c>
      <c r="O14" s="20">
        <v>128.0</v>
      </c>
      <c r="P14" s="20">
        <v>16.0</v>
      </c>
      <c r="Q14" s="20">
        <v>1415.0</v>
      </c>
      <c r="R14" s="20">
        <v>602.0</v>
      </c>
      <c r="S14" s="20">
        <v>2.35</v>
      </c>
      <c r="T14" s="20" t="str">
        <f t="shared" si="1"/>
        <v>100000,16</v>
      </c>
      <c r="U14" s="20"/>
      <c r="X14" s="20">
        <v>32128.0</v>
      </c>
      <c r="Y14" s="20">
        <v>128.0</v>
      </c>
      <c r="Z14" s="20">
        <v>16.0</v>
      </c>
      <c r="AA14" s="20">
        <v>706.0</v>
      </c>
      <c r="AB14" s="20">
        <v>477.0</v>
      </c>
      <c r="AC14" s="20">
        <v>1.48</v>
      </c>
      <c r="AD14" s="20" t="str">
        <f t="shared" si="3"/>
        <v>32128,16</v>
      </c>
      <c r="AE14" s="20"/>
    </row>
    <row r="15">
      <c r="A15" s="20">
        <v>100000.0</v>
      </c>
      <c r="B15" s="20">
        <v>128.0</v>
      </c>
      <c r="C15" s="20">
        <v>16.0</v>
      </c>
      <c r="D15" s="20">
        <v>744.0</v>
      </c>
      <c r="E15" s="20">
        <v>479.0</v>
      </c>
      <c r="F15" s="20">
        <v>1.553</v>
      </c>
      <c r="G15" s="29" t="str">
        <f t="shared" si="2"/>
        <v>100000,16</v>
      </c>
      <c r="N15" s="20">
        <v>300000.0</v>
      </c>
      <c r="O15" s="20">
        <v>128.0</v>
      </c>
      <c r="P15" s="20">
        <v>16.0</v>
      </c>
      <c r="Q15" s="20">
        <v>1050.0</v>
      </c>
      <c r="R15" s="20">
        <v>708.0</v>
      </c>
      <c r="S15" s="20">
        <v>1.483</v>
      </c>
      <c r="T15" s="20" t="str">
        <f t="shared" si="1"/>
        <v>300000,16</v>
      </c>
      <c r="U15" s="20"/>
      <c r="X15" s="20">
        <v>50000.0</v>
      </c>
      <c r="Y15" s="20">
        <v>128.0</v>
      </c>
      <c r="Z15" s="20">
        <v>16.0</v>
      </c>
      <c r="AA15" s="20">
        <v>720.0</v>
      </c>
      <c r="AB15" s="20">
        <v>603.0</v>
      </c>
      <c r="AC15" s="20">
        <v>1.194</v>
      </c>
      <c r="AD15" s="20" t="str">
        <f t="shared" si="3"/>
        <v>50000,16</v>
      </c>
      <c r="AE15" s="20"/>
    </row>
    <row r="16">
      <c r="A16" s="20">
        <v>300000.0</v>
      </c>
      <c r="B16" s="20">
        <v>128.0</v>
      </c>
      <c r="C16" s="20">
        <v>16.0</v>
      </c>
      <c r="D16" s="20">
        <v>881.0</v>
      </c>
      <c r="E16" s="20">
        <v>484.0</v>
      </c>
      <c r="F16" s="20">
        <v>1.82</v>
      </c>
      <c r="G16" s="29" t="str">
        <f t="shared" si="2"/>
        <v>300000,16</v>
      </c>
      <c r="N16" s="20">
        <v>500000.0</v>
      </c>
      <c r="O16" s="20">
        <v>128.0</v>
      </c>
      <c r="P16" s="20">
        <v>16.0</v>
      </c>
      <c r="Q16" s="20">
        <v>1042.0</v>
      </c>
      <c r="R16" s="20">
        <v>634.0</v>
      </c>
      <c r="S16" s="20">
        <v>1.644</v>
      </c>
      <c r="T16" s="20" t="str">
        <f t="shared" si="1"/>
        <v>500000,16</v>
      </c>
      <c r="U16" s="20"/>
      <c r="X16" s="20">
        <v>100000.0</v>
      </c>
      <c r="Y16" s="20">
        <v>128.0</v>
      </c>
      <c r="Z16" s="20">
        <v>16.0</v>
      </c>
      <c r="AA16" s="20">
        <v>725.0</v>
      </c>
      <c r="AB16" s="20">
        <v>493.0</v>
      </c>
      <c r="AC16" s="20">
        <v>1.471</v>
      </c>
      <c r="AD16" s="20" t="str">
        <f t="shared" si="3"/>
        <v>100000,16</v>
      </c>
      <c r="AE16" s="20"/>
    </row>
    <row r="17">
      <c r="A17" s="20">
        <v>500000.0</v>
      </c>
      <c r="B17" s="20">
        <v>128.0</v>
      </c>
      <c r="C17" s="20">
        <v>16.0</v>
      </c>
      <c r="D17" s="20">
        <v>753.0</v>
      </c>
      <c r="E17" s="20">
        <v>494.0</v>
      </c>
      <c r="F17" s="20">
        <v>1.524</v>
      </c>
      <c r="G17" s="29" t="str">
        <f t="shared" si="2"/>
        <v>500000,16</v>
      </c>
      <c r="N17" s="20">
        <v>1000000.0</v>
      </c>
      <c r="O17" s="20">
        <v>128.0</v>
      </c>
      <c r="P17" s="20">
        <v>16.0</v>
      </c>
      <c r="Q17" s="20">
        <v>1049.0</v>
      </c>
      <c r="R17" s="20">
        <v>696.0</v>
      </c>
      <c r="S17" s="20">
        <v>1.507</v>
      </c>
      <c r="T17" s="20" t="str">
        <f t="shared" si="1"/>
        <v>1000000,16</v>
      </c>
      <c r="U17" s="20"/>
      <c r="X17" s="20">
        <v>300000.0</v>
      </c>
      <c r="Y17" s="20">
        <v>128.0</v>
      </c>
      <c r="Z17" s="20">
        <v>16.0</v>
      </c>
      <c r="AA17" s="20">
        <v>863.0</v>
      </c>
      <c r="AB17" s="20">
        <v>486.0</v>
      </c>
      <c r="AC17" s="20">
        <v>1.776</v>
      </c>
      <c r="AD17" s="20" t="str">
        <f t="shared" si="3"/>
        <v>300000,16</v>
      </c>
      <c r="AE17" s="20"/>
    </row>
    <row r="18">
      <c r="A18" s="20">
        <v>1000000.0</v>
      </c>
      <c r="B18" s="20">
        <v>128.0</v>
      </c>
      <c r="C18" s="20">
        <v>16.0</v>
      </c>
      <c r="D18" s="20">
        <v>771.0</v>
      </c>
      <c r="E18" s="20">
        <v>489.0</v>
      </c>
      <c r="F18" s="20">
        <v>1.577</v>
      </c>
      <c r="G18" s="29" t="str">
        <f t="shared" si="2"/>
        <v>1000000,16</v>
      </c>
      <c r="N18" s="20">
        <v>2000000.0</v>
      </c>
      <c r="O18" s="20">
        <v>128.0</v>
      </c>
      <c r="P18" s="20">
        <v>16.0</v>
      </c>
      <c r="Q18" s="20">
        <v>1092.0</v>
      </c>
      <c r="R18" s="20">
        <v>706.0</v>
      </c>
      <c r="S18" s="20">
        <v>1.547</v>
      </c>
      <c r="T18" s="20" t="str">
        <f t="shared" si="1"/>
        <v>2000000,16</v>
      </c>
      <c r="U18" s="20"/>
      <c r="X18" s="20">
        <v>500000.0</v>
      </c>
      <c r="Y18" s="20">
        <v>128.0</v>
      </c>
      <c r="Z18" s="20">
        <v>16.0</v>
      </c>
      <c r="AA18" s="20">
        <v>754.0</v>
      </c>
      <c r="AB18" s="20">
        <v>568.0</v>
      </c>
      <c r="AC18" s="20">
        <v>1.327</v>
      </c>
      <c r="AD18" s="20" t="str">
        <f t="shared" si="3"/>
        <v>500000,16</v>
      </c>
      <c r="AE18" s="20"/>
    </row>
    <row r="19">
      <c r="A19" s="20">
        <v>2000000.0</v>
      </c>
      <c r="B19" s="20">
        <v>128.0</v>
      </c>
      <c r="C19" s="20">
        <v>16.0</v>
      </c>
      <c r="D19" s="20">
        <v>803.0</v>
      </c>
      <c r="E19" s="20">
        <v>530.0</v>
      </c>
      <c r="F19" s="20">
        <v>1.515</v>
      </c>
      <c r="G19" s="29" t="str">
        <f t="shared" si="2"/>
        <v>2000000,16</v>
      </c>
      <c r="N19" s="20">
        <v>10000.0</v>
      </c>
      <c r="O19" s="20">
        <v>128.0</v>
      </c>
      <c r="P19" s="20">
        <v>32.0</v>
      </c>
      <c r="Q19" s="20">
        <v>823.0</v>
      </c>
      <c r="R19" s="20">
        <v>635.0</v>
      </c>
      <c r="S19" s="20">
        <v>1.296</v>
      </c>
      <c r="T19" s="20" t="str">
        <f t="shared" si="1"/>
        <v>10000,32</v>
      </c>
      <c r="U19" s="20"/>
      <c r="X19" s="20">
        <v>1000000.0</v>
      </c>
      <c r="Y19" s="20">
        <v>128.0</v>
      </c>
      <c r="Z19" s="20">
        <v>16.0</v>
      </c>
      <c r="AA19" s="20">
        <v>778.0</v>
      </c>
      <c r="AB19" s="20">
        <v>499.0</v>
      </c>
      <c r="AC19" s="20">
        <v>1.559</v>
      </c>
      <c r="AD19" s="20" t="str">
        <f t="shared" si="3"/>
        <v>1000000,16</v>
      </c>
      <c r="AE19" s="20"/>
    </row>
    <row r="20">
      <c r="A20" s="20">
        <v>10000.0</v>
      </c>
      <c r="B20" s="20">
        <v>128.0</v>
      </c>
      <c r="C20" s="20">
        <v>32.0</v>
      </c>
      <c r="D20" s="20">
        <v>700.0</v>
      </c>
      <c r="E20" s="20">
        <v>502.0</v>
      </c>
      <c r="F20" s="20">
        <v>1.394</v>
      </c>
      <c r="G20" s="29" t="str">
        <f t="shared" si="2"/>
        <v>10000,32</v>
      </c>
      <c r="N20" s="20">
        <v>32128.0</v>
      </c>
      <c r="O20" s="20">
        <v>128.0</v>
      </c>
      <c r="P20" s="20">
        <v>32.0</v>
      </c>
      <c r="Q20" s="20">
        <v>879.0</v>
      </c>
      <c r="R20" s="20">
        <v>636.0</v>
      </c>
      <c r="S20" s="20">
        <v>1.382</v>
      </c>
      <c r="T20" s="20" t="str">
        <f t="shared" si="1"/>
        <v>32128,32</v>
      </c>
      <c r="U20" s="20"/>
      <c r="X20" s="20">
        <v>2000000.0</v>
      </c>
      <c r="Y20" s="20">
        <v>128.0</v>
      </c>
      <c r="Z20" s="20">
        <v>16.0</v>
      </c>
      <c r="AA20" s="20">
        <v>782.0</v>
      </c>
      <c r="AB20" s="20">
        <v>516.0</v>
      </c>
      <c r="AC20" s="20">
        <v>1.516</v>
      </c>
      <c r="AD20" s="20" t="str">
        <f t="shared" si="3"/>
        <v>2000000,16</v>
      </c>
      <c r="AE20" s="20"/>
    </row>
    <row r="21">
      <c r="A21" s="20">
        <v>32128.0</v>
      </c>
      <c r="B21" s="20">
        <v>128.0</v>
      </c>
      <c r="C21" s="20">
        <v>32.0</v>
      </c>
      <c r="D21" s="20">
        <v>805.0</v>
      </c>
      <c r="E21" s="20">
        <v>485.0</v>
      </c>
      <c r="F21" s="20">
        <v>1.66</v>
      </c>
      <c r="G21" s="29" t="str">
        <f t="shared" si="2"/>
        <v>32128,32</v>
      </c>
      <c r="N21" s="20">
        <v>50000.0</v>
      </c>
      <c r="O21" s="20">
        <v>128.0</v>
      </c>
      <c r="P21" s="20">
        <v>32.0</v>
      </c>
      <c r="Q21" s="20">
        <v>944.0</v>
      </c>
      <c r="R21" s="20">
        <v>633.0</v>
      </c>
      <c r="S21" s="20">
        <v>1.491</v>
      </c>
      <c r="T21" s="20" t="str">
        <f t="shared" si="1"/>
        <v>50000,32</v>
      </c>
      <c r="U21" s="20"/>
      <c r="X21" s="20">
        <v>10000.0</v>
      </c>
      <c r="Y21" s="20">
        <v>128.0</v>
      </c>
      <c r="Z21" s="20">
        <v>32.0</v>
      </c>
      <c r="AA21" s="20">
        <v>711.0</v>
      </c>
      <c r="AB21" s="20">
        <v>451.0</v>
      </c>
      <c r="AC21" s="20">
        <v>1.576</v>
      </c>
      <c r="AD21" s="20" t="str">
        <f t="shared" si="3"/>
        <v>10000,32</v>
      </c>
      <c r="AE21" s="20"/>
    </row>
    <row r="22">
      <c r="A22" s="20">
        <v>50000.0</v>
      </c>
      <c r="B22" s="20">
        <v>128.0</v>
      </c>
      <c r="C22" s="20">
        <v>32.0</v>
      </c>
      <c r="D22" s="20">
        <v>710.0</v>
      </c>
      <c r="E22" s="20">
        <v>444.0</v>
      </c>
      <c r="F22" s="20">
        <v>1.599</v>
      </c>
      <c r="G22" s="29" t="str">
        <f t="shared" si="2"/>
        <v>50000,32</v>
      </c>
      <c r="N22" s="20">
        <v>100000.0</v>
      </c>
      <c r="O22" s="20">
        <v>128.0</v>
      </c>
      <c r="P22" s="20">
        <v>32.0</v>
      </c>
      <c r="Q22" s="20">
        <v>1136.0</v>
      </c>
      <c r="R22" s="20">
        <v>599.0</v>
      </c>
      <c r="S22" s="20">
        <v>1.896</v>
      </c>
      <c r="T22" s="20" t="str">
        <f t="shared" si="1"/>
        <v>100000,32</v>
      </c>
      <c r="U22" s="20"/>
      <c r="X22" s="20">
        <v>32128.0</v>
      </c>
      <c r="Y22" s="20">
        <v>128.0</v>
      </c>
      <c r="Z22" s="20">
        <v>32.0</v>
      </c>
      <c r="AA22" s="20">
        <v>737.0</v>
      </c>
      <c r="AB22" s="20">
        <v>503.0</v>
      </c>
      <c r="AC22" s="20">
        <v>1.465</v>
      </c>
      <c r="AD22" s="20" t="str">
        <f t="shared" si="3"/>
        <v>32128,32</v>
      </c>
      <c r="AE22" s="20"/>
    </row>
    <row r="23">
      <c r="A23" s="20">
        <v>100000.0</v>
      </c>
      <c r="B23" s="20">
        <v>128.0</v>
      </c>
      <c r="C23" s="20">
        <v>32.0</v>
      </c>
      <c r="D23" s="20">
        <v>746.0</v>
      </c>
      <c r="E23" s="20">
        <v>451.0</v>
      </c>
      <c r="F23" s="20">
        <v>1.654</v>
      </c>
      <c r="G23" s="29" t="str">
        <f t="shared" si="2"/>
        <v>100000,32</v>
      </c>
      <c r="N23" s="20">
        <v>300000.0</v>
      </c>
      <c r="O23" s="20">
        <v>128.0</v>
      </c>
      <c r="P23" s="20">
        <v>32.0</v>
      </c>
      <c r="Q23" s="20">
        <v>1039.0</v>
      </c>
      <c r="R23" s="20">
        <v>616.0</v>
      </c>
      <c r="S23" s="20">
        <v>1.687</v>
      </c>
      <c r="T23" s="20" t="str">
        <f t="shared" si="1"/>
        <v>300000,32</v>
      </c>
      <c r="U23" s="20"/>
      <c r="X23" s="20">
        <v>50000.0</v>
      </c>
      <c r="Y23" s="20">
        <v>128.0</v>
      </c>
      <c r="Z23" s="20">
        <v>32.0</v>
      </c>
      <c r="AA23" s="20">
        <v>1012.0</v>
      </c>
      <c r="AB23" s="20">
        <v>638.0</v>
      </c>
      <c r="AC23" s="20">
        <v>1.586</v>
      </c>
      <c r="AD23" s="20" t="str">
        <f t="shared" si="3"/>
        <v>50000,32</v>
      </c>
      <c r="AE23" s="20"/>
    </row>
    <row r="24">
      <c r="A24" s="20">
        <v>300000.0</v>
      </c>
      <c r="B24" s="20">
        <v>128.0</v>
      </c>
      <c r="C24" s="20">
        <v>32.0</v>
      </c>
      <c r="D24" s="20">
        <v>895.0</v>
      </c>
      <c r="E24" s="20">
        <v>449.0</v>
      </c>
      <c r="F24" s="20">
        <v>1.993</v>
      </c>
      <c r="G24" s="29" t="str">
        <f t="shared" si="2"/>
        <v>300000,32</v>
      </c>
      <c r="N24" s="20">
        <v>500000.0</v>
      </c>
      <c r="O24" s="20">
        <v>128.0</v>
      </c>
      <c r="P24" s="20">
        <v>32.0</v>
      </c>
      <c r="Q24" s="20">
        <v>1394.0</v>
      </c>
      <c r="R24" s="20">
        <v>1015.0</v>
      </c>
      <c r="S24" s="20">
        <v>1.373</v>
      </c>
      <c r="T24" s="20" t="str">
        <f t="shared" si="1"/>
        <v>500000,32</v>
      </c>
      <c r="U24" s="20"/>
      <c r="X24" s="20">
        <v>100000.0</v>
      </c>
      <c r="Y24" s="20">
        <v>128.0</v>
      </c>
      <c r="Z24" s="20">
        <v>32.0</v>
      </c>
      <c r="AA24" s="20">
        <v>740.0</v>
      </c>
      <c r="AB24" s="20">
        <v>446.0</v>
      </c>
      <c r="AC24" s="20">
        <v>1.659</v>
      </c>
      <c r="AD24" s="20" t="str">
        <f t="shared" si="3"/>
        <v>100000,32</v>
      </c>
      <c r="AE24" s="20"/>
    </row>
    <row r="25">
      <c r="A25" s="20">
        <v>500000.0</v>
      </c>
      <c r="B25" s="20">
        <v>128.0</v>
      </c>
      <c r="C25" s="20">
        <v>32.0</v>
      </c>
      <c r="D25" s="20">
        <v>760.0</v>
      </c>
      <c r="E25" s="20">
        <v>450.0</v>
      </c>
      <c r="F25" s="20">
        <v>1.689</v>
      </c>
      <c r="G25" s="29" t="str">
        <f t="shared" si="2"/>
        <v>500000,32</v>
      </c>
      <c r="N25" s="20">
        <v>1000000.0</v>
      </c>
      <c r="O25" s="20">
        <v>128.0</v>
      </c>
      <c r="P25" s="20">
        <v>32.0</v>
      </c>
      <c r="Q25" s="20">
        <v>946.0</v>
      </c>
      <c r="R25" s="20">
        <v>709.0</v>
      </c>
      <c r="S25" s="20">
        <v>1.334</v>
      </c>
      <c r="T25" s="20" t="str">
        <f t="shared" si="1"/>
        <v>1000000,32</v>
      </c>
      <c r="U25" s="20"/>
      <c r="X25" s="20">
        <v>300000.0</v>
      </c>
      <c r="Y25" s="20">
        <v>128.0</v>
      </c>
      <c r="Z25" s="20">
        <v>32.0</v>
      </c>
      <c r="AA25" s="20">
        <v>859.0</v>
      </c>
      <c r="AB25" s="20">
        <v>466.0</v>
      </c>
      <c r="AC25" s="20">
        <v>1.843</v>
      </c>
      <c r="AD25" s="20" t="str">
        <f t="shared" si="3"/>
        <v>300000,32</v>
      </c>
      <c r="AE25" s="20"/>
    </row>
    <row r="26">
      <c r="A26" s="20">
        <v>1000000.0</v>
      </c>
      <c r="B26" s="20">
        <v>128.0</v>
      </c>
      <c r="C26" s="20">
        <v>32.0</v>
      </c>
      <c r="D26" s="20">
        <v>815.0</v>
      </c>
      <c r="E26" s="20">
        <v>457.0</v>
      </c>
      <c r="F26" s="20">
        <v>1.783</v>
      </c>
      <c r="G26" s="29" t="str">
        <f t="shared" si="2"/>
        <v>1000000,32</v>
      </c>
      <c r="N26" s="20">
        <v>2000000.0</v>
      </c>
      <c r="O26" s="20">
        <v>128.0</v>
      </c>
      <c r="P26" s="20">
        <v>32.0</v>
      </c>
      <c r="Q26" s="20">
        <v>952.0</v>
      </c>
      <c r="R26" s="20">
        <v>774.0</v>
      </c>
      <c r="S26" s="20">
        <v>1.23</v>
      </c>
      <c r="T26" s="20" t="str">
        <f t="shared" si="1"/>
        <v>2000000,32</v>
      </c>
      <c r="U26" s="20"/>
      <c r="X26" s="20">
        <v>500000.0</v>
      </c>
      <c r="Y26" s="20">
        <v>128.0</v>
      </c>
      <c r="Z26" s="20">
        <v>32.0</v>
      </c>
      <c r="AA26" s="20">
        <v>781.0</v>
      </c>
      <c r="AB26" s="20">
        <v>449.0</v>
      </c>
      <c r="AC26" s="20">
        <v>1.739</v>
      </c>
      <c r="AD26" s="20" t="str">
        <f t="shared" si="3"/>
        <v>500000,32</v>
      </c>
      <c r="AE26" s="20"/>
    </row>
    <row r="27">
      <c r="A27" s="20">
        <v>2000000.0</v>
      </c>
      <c r="B27" s="20">
        <v>128.0</v>
      </c>
      <c r="C27" s="20">
        <v>32.0</v>
      </c>
      <c r="D27" s="20">
        <v>762.0</v>
      </c>
      <c r="E27" s="20">
        <v>489.0</v>
      </c>
      <c r="F27" s="20">
        <v>1.558</v>
      </c>
      <c r="G27" s="29" t="str">
        <f t="shared" si="2"/>
        <v>2000000,32</v>
      </c>
      <c r="N27" s="20">
        <v>10000.0</v>
      </c>
      <c r="O27" s="20">
        <v>128.0</v>
      </c>
      <c r="P27" s="20">
        <v>64.0</v>
      </c>
      <c r="Q27" s="20">
        <v>789.0</v>
      </c>
      <c r="R27" s="20">
        <v>691.0</v>
      </c>
      <c r="S27" s="20">
        <v>1.142</v>
      </c>
      <c r="T27" s="20" t="str">
        <f t="shared" si="1"/>
        <v>10000,64</v>
      </c>
      <c r="U27" s="20"/>
      <c r="X27" s="20">
        <v>1000000.0</v>
      </c>
      <c r="Y27" s="20">
        <v>128.0</v>
      </c>
      <c r="Z27" s="20">
        <v>32.0</v>
      </c>
      <c r="AA27" s="20">
        <v>770.0</v>
      </c>
      <c r="AB27" s="20">
        <v>505.0</v>
      </c>
      <c r="AC27" s="20">
        <v>1.525</v>
      </c>
      <c r="AD27" s="20" t="str">
        <f t="shared" si="3"/>
        <v>1000000,32</v>
      </c>
      <c r="AE27" s="20"/>
    </row>
    <row r="28">
      <c r="A28" s="20">
        <v>10000.0</v>
      </c>
      <c r="B28" s="20">
        <v>128.0</v>
      </c>
      <c r="C28" s="20">
        <v>64.0</v>
      </c>
      <c r="D28" s="20">
        <v>620.0</v>
      </c>
      <c r="E28" s="20">
        <v>543.0</v>
      </c>
      <c r="F28" s="20">
        <v>1.142</v>
      </c>
      <c r="G28" s="29" t="str">
        <f t="shared" si="2"/>
        <v>10000,64</v>
      </c>
      <c r="N28" s="20">
        <v>32128.0</v>
      </c>
      <c r="O28" s="20">
        <v>128.0</v>
      </c>
      <c r="P28" s="20">
        <v>64.0</v>
      </c>
      <c r="Q28" s="20">
        <v>1088.0</v>
      </c>
      <c r="R28" s="20">
        <v>752.0</v>
      </c>
      <c r="S28" s="20">
        <v>1.447</v>
      </c>
      <c r="T28" s="20" t="str">
        <f t="shared" si="1"/>
        <v>32128,64</v>
      </c>
      <c r="U28" s="20"/>
      <c r="X28" s="20">
        <v>2000000.0</v>
      </c>
      <c r="Y28" s="20">
        <v>128.0</v>
      </c>
      <c r="Z28" s="20">
        <v>32.0</v>
      </c>
      <c r="AA28" s="20">
        <v>765.0</v>
      </c>
      <c r="AB28" s="20">
        <v>521.0</v>
      </c>
      <c r="AC28" s="20">
        <v>1.468</v>
      </c>
      <c r="AD28" s="20" t="str">
        <f t="shared" si="3"/>
        <v>2000000,32</v>
      </c>
      <c r="AE28" s="20"/>
    </row>
    <row r="29">
      <c r="A29" s="20">
        <v>32128.0</v>
      </c>
      <c r="B29" s="20">
        <v>128.0</v>
      </c>
      <c r="C29" s="20">
        <v>64.0</v>
      </c>
      <c r="D29" s="20">
        <v>819.0</v>
      </c>
      <c r="E29" s="20">
        <v>684.0</v>
      </c>
      <c r="F29" s="20">
        <v>1.197</v>
      </c>
      <c r="G29" s="29" t="str">
        <f t="shared" si="2"/>
        <v>32128,64</v>
      </c>
      <c r="N29" s="20">
        <v>50000.0</v>
      </c>
      <c r="O29" s="20">
        <v>128.0</v>
      </c>
      <c r="P29" s="20">
        <v>64.0</v>
      </c>
      <c r="Q29" s="20">
        <v>870.0</v>
      </c>
      <c r="R29" s="20">
        <v>722.0</v>
      </c>
      <c r="S29" s="20">
        <v>1.205</v>
      </c>
      <c r="T29" s="20" t="str">
        <f t="shared" si="1"/>
        <v>50000,64</v>
      </c>
      <c r="U29" s="20"/>
      <c r="X29" s="20">
        <v>10000.0</v>
      </c>
      <c r="Y29" s="20">
        <v>128.0</v>
      </c>
      <c r="Z29" s="20">
        <v>64.0</v>
      </c>
      <c r="AA29" s="20">
        <v>622.0</v>
      </c>
      <c r="AB29" s="20">
        <v>641.0</v>
      </c>
      <c r="AC29" s="20">
        <v>0.97</v>
      </c>
      <c r="AD29" s="20" t="str">
        <f t="shared" si="3"/>
        <v>10000,64</v>
      </c>
      <c r="AE29" s="20"/>
    </row>
    <row r="30">
      <c r="A30" s="20">
        <v>50000.0</v>
      </c>
      <c r="B30" s="20">
        <v>128.0</v>
      </c>
      <c r="C30" s="20">
        <v>64.0</v>
      </c>
      <c r="D30" s="20">
        <v>709.0</v>
      </c>
      <c r="E30" s="20">
        <v>546.0</v>
      </c>
      <c r="F30" s="20">
        <v>1.299</v>
      </c>
      <c r="G30" s="29" t="str">
        <f t="shared" si="2"/>
        <v>50000,64</v>
      </c>
      <c r="N30" s="20">
        <v>100000.0</v>
      </c>
      <c r="O30" s="20">
        <v>128.0</v>
      </c>
      <c r="P30" s="20">
        <v>64.0</v>
      </c>
      <c r="Q30" s="20">
        <v>1021.0</v>
      </c>
      <c r="R30" s="20">
        <v>1103.0</v>
      </c>
      <c r="S30" s="20">
        <v>0.926</v>
      </c>
      <c r="T30" s="20" t="str">
        <f t="shared" si="1"/>
        <v>100000,64</v>
      </c>
      <c r="U30" s="20"/>
      <c r="X30" s="20">
        <v>32128.0</v>
      </c>
      <c r="Y30" s="20">
        <v>128.0</v>
      </c>
      <c r="Z30" s="20">
        <v>64.0</v>
      </c>
      <c r="AA30" s="20">
        <v>683.0</v>
      </c>
      <c r="AB30" s="20">
        <v>539.0</v>
      </c>
      <c r="AC30" s="20">
        <v>1.267</v>
      </c>
      <c r="AD30" s="20" t="str">
        <f t="shared" si="3"/>
        <v>32128,64</v>
      </c>
      <c r="AE30" s="20"/>
    </row>
    <row r="31">
      <c r="A31" s="20">
        <v>100000.0</v>
      </c>
      <c r="B31" s="20">
        <v>128.0</v>
      </c>
      <c r="C31" s="20">
        <v>64.0</v>
      </c>
      <c r="D31" s="20">
        <v>778.0</v>
      </c>
      <c r="E31" s="20">
        <v>545.0</v>
      </c>
      <c r="F31" s="20">
        <v>1.428</v>
      </c>
      <c r="G31" s="29" t="str">
        <f t="shared" si="2"/>
        <v>100000,64</v>
      </c>
      <c r="N31" s="20">
        <v>300000.0</v>
      </c>
      <c r="O31" s="20">
        <v>128.0</v>
      </c>
      <c r="P31" s="20">
        <v>64.0</v>
      </c>
      <c r="Q31" s="20">
        <v>946.0</v>
      </c>
      <c r="R31" s="20">
        <v>726.0</v>
      </c>
      <c r="S31" s="20">
        <v>1.303</v>
      </c>
      <c r="T31" s="20" t="str">
        <f t="shared" si="1"/>
        <v>300000,64</v>
      </c>
      <c r="U31" s="20"/>
      <c r="X31" s="20">
        <v>50000.0</v>
      </c>
      <c r="Y31" s="20">
        <v>128.0</v>
      </c>
      <c r="Z31" s="20">
        <v>64.0</v>
      </c>
      <c r="AA31" s="20">
        <v>705.0</v>
      </c>
      <c r="AB31" s="20">
        <v>627.0</v>
      </c>
      <c r="AC31" s="20">
        <v>1.124</v>
      </c>
      <c r="AD31" s="20" t="str">
        <f t="shared" si="3"/>
        <v>50000,64</v>
      </c>
      <c r="AE31" s="20"/>
    </row>
    <row r="32">
      <c r="A32" s="20">
        <v>300000.0</v>
      </c>
      <c r="B32" s="20">
        <v>128.0</v>
      </c>
      <c r="C32" s="20">
        <v>64.0</v>
      </c>
      <c r="D32" s="20">
        <v>912.0</v>
      </c>
      <c r="E32" s="20">
        <v>548.0</v>
      </c>
      <c r="F32" s="20">
        <v>1.664</v>
      </c>
      <c r="G32" s="29" t="str">
        <f t="shared" si="2"/>
        <v>300000,64</v>
      </c>
      <c r="N32" s="20">
        <v>500000.0</v>
      </c>
      <c r="O32" s="20">
        <v>128.0</v>
      </c>
      <c r="P32" s="20">
        <v>64.0</v>
      </c>
      <c r="Q32" s="20">
        <v>984.0</v>
      </c>
      <c r="R32" s="20">
        <v>755.0</v>
      </c>
      <c r="S32" s="20">
        <v>1.303</v>
      </c>
      <c r="T32" s="20" t="str">
        <f t="shared" si="1"/>
        <v>500000,64</v>
      </c>
      <c r="U32" s="20"/>
      <c r="X32" s="20">
        <v>100000.0</v>
      </c>
      <c r="Y32" s="20">
        <v>128.0</v>
      </c>
      <c r="Z32" s="20">
        <v>64.0</v>
      </c>
      <c r="AA32" s="20">
        <v>750.0</v>
      </c>
      <c r="AB32" s="20">
        <v>546.0</v>
      </c>
      <c r="AC32" s="20">
        <v>1.374</v>
      </c>
      <c r="AD32" s="20" t="str">
        <f t="shared" si="3"/>
        <v>100000,64</v>
      </c>
      <c r="AE32" s="20"/>
    </row>
    <row r="33">
      <c r="A33" s="20">
        <v>500000.0</v>
      </c>
      <c r="B33" s="20">
        <v>128.0</v>
      </c>
      <c r="C33" s="20">
        <v>64.0</v>
      </c>
      <c r="D33" s="20">
        <v>758.0</v>
      </c>
      <c r="E33" s="20">
        <v>550.0</v>
      </c>
      <c r="F33" s="20">
        <v>1.378</v>
      </c>
      <c r="G33" s="29" t="str">
        <f t="shared" si="2"/>
        <v>500000,64</v>
      </c>
      <c r="N33" s="20">
        <v>1000000.0</v>
      </c>
      <c r="O33" s="20">
        <v>128.0</v>
      </c>
      <c r="P33" s="20">
        <v>64.0</v>
      </c>
      <c r="Q33" s="20">
        <v>1209.0</v>
      </c>
      <c r="R33" s="20">
        <v>803.0</v>
      </c>
      <c r="S33" s="20">
        <v>1.506</v>
      </c>
      <c r="T33" s="20" t="str">
        <f t="shared" si="1"/>
        <v>1000000,64</v>
      </c>
      <c r="U33" s="20"/>
      <c r="X33" s="20">
        <v>300000.0</v>
      </c>
      <c r="Y33" s="20">
        <v>128.0</v>
      </c>
      <c r="Z33" s="20">
        <v>64.0</v>
      </c>
      <c r="AA33" s="20">
        <v>787.0</v>
      </c>
      <c r="AB33" s="20">
        <v>554.0</v>
      </c>
      <c r="AC33" s="20">
        <v>1.421</v>
      </c>
      <c r="AD33" s="20" t="str">
        <f t="shared" si="3"/>
        <v>300000,64</v>
      </c>
      <c r="AE33" s="20"/>
    </row>
    <row r="34">
      <c r="A34" s="20">
        <v>1000000.0</v>
      </c>
      <c r="B34" s="20">
        <v>128.0</v>
      </c>
      <c r="C34" s="20">
        <v>64.0</v>
      </c>
      <c r="D34" s="20">
        <v>784.0</v>
      </c>
      <c r="E34" s="20">
        <v>557.0</v>
      </c>
      <c r="F34" s="20">
        <v>1.408</v>
      </c>
      <c r="G34" s="29" t="str">
        <f t="shared" si="2"/>
        <v>1000000,64</v>
      </c>
      <c r="N34" s="20">
        <v>2000000.0</v>
      </c>
      <c r="O34" s="20">
        <v>128.0</v>
      </c>
      <c r="P34" s="20">
        <v>64.0</v>
      </c>
      <c r="Q34" s="20">
        <v>1260.0</v>
      </c>
      <c r="R34" s="20">
        <v>1042.0</v>
      </c>
      <c r="S34" s="20">
        <v>1.209</v>
      </c>
      <c r="T34" s="20" t="str">
        <f t="shared" si="1"/>
        <v>2000000,64</v>
      </c>
      <c r="U34" s="20"/>
      <c r="X34" s="20">
        <v>500000.0</v>
      </c>
      <c r="Y34" s="20">
        <v>128.0</v>
      </c>
      <c r="Z34" s="20">
        <v>64.0</v>
      </c>
      <c r="AA34" s="20">
        <v>760.0</v>
      </c>
      <c r="AB34" s="20">
        <v>567.0</v>
      </c>
      <c r="AC34" s="20">
        <v>1.34</v>
      </c>
      <c r="AD34" s="20" t="str">
        <f t="shared" si="3"/>
        <v>500000,64</v>
      </c>
      <c r="AE34" s="20"/>
    </row>
    <row r="35">
      <c r="A35" s="20">
        <v>2000000.0</v>
      </c>
      <c r="B35" s="20">
        <v>128.0</v>
      </c>
      <c r="C35" s="20">
        <v>64.0</v>
      </c>
      <c r="D35" s="20">
        <v>759.0</v>
      </c>
      <c r="E35" s="20">
        <v>582.0</v>
      </c>
      <c r="F35" s="20">
        <v>1.304</v>
      </c>
      <c r="G35" s="29" t="str">
        <f t="shared" si="2"/>
        <v>2000000,64</v>
      </c>
      <c r="N35" s="20">
        <v>10000.0</v>
      </c>
      <c r="O35" s="20">
        <v>128.0</v>
      </c>
      <c r="P35" s="20">
        <v>128.0</v>
      </c>
      <c r="Q35" s="20">
        <v>743.0</v>
      </c>
      <c r="R35" s="20">
        <v>862.0</v>
      </c>
      <c r="S35" s="20">
        <v>0.862</v>
      </c>
      <c r="T35" s="20" t="str">
        <f t="shared" si="1"/>
        <v>10000,128</v>
      </c>
      <c r="U35" s="20"/>
      <c r="X35" s="20">
        <v>1000000.0</v>
      </c>
      <c r="Y35" s="20">
        <v>128.0</v>
      </c>
      <c r="Z35" s="20">
        <v>64.0</v>
      </c>
      <c r="AA35" s="20">
        <v>747.0</v>
      </c>
      <c r="AB35" s="20">
        <v>543.0</v>
      </c>
      <c r="AC35" s="20">
        <v>1.376</v>
      </c>
      <c r="AD35" s="20" t="str">
        <f t="shared" si="3"/>
        <v>1000000,64</v>
      </c>
      <c r="AE35" s="20"/>
    </row>
    <row r="36">
      <c r="A36" s="20">
        <v>10000.0</v>
      </c>
      <c r="B36" s="20">
        <v>128.0</v>
      </c>
      <c r="C36" s="20">
        <v>128.0</v>
      </c>
      <c r="D36" s="20">
        <v>555.0</v>
      </c>
      <c r="E36" s="20">
        <v>702.0</v>
      </c>
      <c r="F36" s="20">
        <v>0.791</v>
      </c>
      <c r="G36" s="29" t="str">
        <f t="shared" si="2"/>
        <v>10000,128</v>
      </c>
      <c r="N36" s="20">
        <v>32128.0</v>
      </c>
      <c r="O36" s="20">
        <v>128.0</v>
      </c>
      <c r="P36" s="20">
        <v>128.0</v>
      </c>
      <c r="Q36" s="20">
        <v>892.0</v>
      </c>
      <c r="R36" s="20">
        <v>902.0</v>
      </c>
      <c r="S36" s="20">
        <v>0.989</v>
      </c>
      <c r="T36" s="20" t="str">
        <f t="shared" si="1"/>
        <v>32128,128</v>
      </c>
      <c r="U36" s="20"/>
      <c r="X36" s="20">
        <v>2000000.0</v>
      </c>
      <c r="Y36" s="20">
        <v>128.0</v>
      </c>
      <c r="Z36" s="20">
        <v>64.0</v>
      </c>
      <c r="AA36" s="20">
        <v>784.0</v>
      </c>
      <c r="AB36" s="20">
        <v>596.0</v>
      </c>
      <c r="AC36" s="20">
        <v>1.315</v>
      </c>
      <c r="AD36" s="20" t="str">
        <f t="shared" si="3"/>
        <v>2000000,64</v>
      </c>
      <c r="AE36" s="20"/>
    </row>
    <row r="37">
      <c r="A37" s="20">
        <v>32128.0</v>
      </c>
      <c r="B37" s="20">
        <v>128.0</v>
      </c>
      <c r="C37" s="20">
        <v>128.0</v>
      </c>
      <c r="D37" s="20">
        <v>807.0</v>
      </c>
      <c r="E37" s="20">
        <v>739.0</v>
      </c>
      <c r="F37" s="20">
        <v>1.092</v>
      </c>
      <c r="G37" s="29" t="str">
        <f t="shared" si="2"/>
        <v>32128,128</v>
      </c>
      <c r="N37" s="20">
        <v>50000.0</v>
      </c>
      <c r="O37" s="20">
        <v>128.0</v>
      </c>
      <c r="P37" s="20">
        <v>128.0</v>
      </c>
      <c r="Q37" s="20">
        <v>919.0</v>
      </c>
      <c r="R37" s="20">
        <v>847.0</v>
      </c>
      <c r="S37" s="20">
        <v>1.085</v>
      </c>
      <c r="T37" s="20" t="str">
        <f t="shared" si="1"/>
        <v>50000,128</v>
      </c>
      <c r="U37" s="20"/>
      <c r="X37" s="20">
        <v>10000.0</v>
      </c>
      <c r="Y37" s="20">
        <v>128.0</v>
      </c>
      <c r="Z37" s="20">
        <v>128.0</v>
      </c>
      <c r="AA37" s="20">
        <v>557.0</v>
      </c>
      <c r="AB37" s="20">
        <v>686.0</v>
      </c>
      <c r="AC37" s="20">
        <v>0.812</v>
      </c>
      <c r="AD37" s="20" t="str">
        <f t="shared" si="3"/>
        <v>10000,128</v>
      </c>
      <c r="AE37" s="20"/>
    </row>
    <row r="38">
      <c r="A38" s="20">
        <v>50000.0</v>
      </c>
      <c r="B38" s="20">
        <v>128.0</v>
      </c>
      <c r="C38" s="20">
        <v>128.0</v>
      </c>
      <c r="D38" s="20">
        <v>697.0</v>
      </c>
      <c r="E38" s="20">
        <v>708.0</v>
      </c>
      <c r="F38" s="20">
        <v>0.984</v>
      </c>
      <c r="G38" s="29" t="str">
        <f t="shared" si="2"/>
        <v>50000,128</v>
      </c>
      <c r="N38" s="20">
        <v>100000.0</v>
      </c>
      <c r="O38" s="20">
        <v>128.0</v>
      </c>
      <c r="P38" s="20">
        <v>128.0</v>
      </c>
      <c r="Q38" s="20">
        <v>1458.0</v>
      </c>
      <c r="R38" s="20">
        <v>1080.0</v>
      </c>
      <c r="S38" s="20">
        <v>1.35</v>
      </c>
      <c r="T38" s="20" t="str">
        <f t="shared" si="1"/>
        <v>100000,128</v>
      </c>
      <c r="U38" s="20"/>
      <c r="X38" s="20">
        <v>32128.0</v>
      </c>
      <c r="Y38" s="20">
        <v>128.0</v>
      </c>
      <c r="Z38" s="20">
        <v>128.0</v>
      </c>
      <c r="AA38" s="20">
        <v>972.0</v>
      </c>
      <c r="AB38" s="20">
        <v>1024.0</v>
      </c>
      <c r="AC38" s="20">
        <v>0.949</v>
      </c>
      <c r="AD38" s="20" t="str">
        <f t="shared" si="3"/>
        <v>32128,128</v>
      </c>
      <c r="AE38" s="20"/>
    </row>
    <row r="39">
      <c r="A39" s="20">
        <v>100000.0</v>
      </c>
      <c r="B39" s="20">
        <v>128.0</v>
      </c>
      <c r="C39" s="20">
        <v>128.0</v>
      </c>
      <c r="D39" s="20">
        <v>737.0</v>
      </c>
      <c r="E39" s="20">
        <v>721.0</v>
      </c>
      <c r="F39" s="20">
        <v>1.022</v>
      </c>
      <c r="G39" s="29" t="str">
        <f t="shared" si="2"/>
        <v>100000,128</v>
      </c>
      <c r="N39" s="20">
        <v>300000.0</v>
      </c>
      <c r="O39" s="20">
        <v>128.0</v>
      </c>
      <c r="P39" s="20">
        <v>128.0</v>
      </c>
      <c r="Q39" s="20">
        <v>1000.0</v>
      </c>
      <c r="R39" s="20">
        <v>876.0</v>
      </c>
      <c r="S39" s="20">
        <v>1.142</v>
      </c>
      <c r="T39" s="20" t="str">
        <f t="shared" si="1"/>
        <v>300000,128</v>
      </c>
      <c r="U39" s="20"/>
      <c r="X39" s="20">
        <v>50000.0</v>
      </c>
      <c r="Y39" s="20">
        <v>128.0</v>
      </c>
      <c r="Z39" s="20">
        <v>128.0</v>
      </c>
      <c r="AA39" s="20">
        <v>740.0</v>
      </c>
      <c r="AB39" s="20">
        <v>727.0</v>
      </c>
      <c r="AC39" s="20">
        <v>1.018</v>
      </c>
      <c r="AD39" s="20" t="str">
        <f t="shared" si="3"/>
        <v>50000,128</v>
      </c>
      <c r="AE39" s="20"/>
    </row>
    <row r="40">
      <c r="A40" s="20">
        <v>300000.0</v>
      </c>
      <c r="B40" s="20">
        <v>128.0</v>
      </c>
      <c r="C40" s="20">
        <v>128.0</v>
      </c>
      <c r="D40" s="20">
        <v>764.0</v>
      </c>
      <c r="E40" s="20">
        <v>737.0</v>
      </c>
      <c r="F40" s="20">
        <v>1.037</v>
      </c>
      <c r="G40" s="29" t="str">
        <f t="shared" si="2"/>
        <v>300000,128</v>
      </c>
      <c r="N40" s="20">
        <v>500000.0</v>
      </c>
      <c r="O40" s="20">
        <v>128.0</v>
      </c>
      <c r="P40" s="20">
        <v>128.0</v>
      </c>
      <c r="Q40" s="20">
        <v>1036.0</v>
      </c>
      <c r="R40" s="20">
        <v>895.0</v>
      </c>
      <c r="S40" s="20">
        <v>1.158</v>
      </c>
      <c r="T40" s="20" t="str">
        <f t="shared" si="1"/>
        <v>500000,128</v>
      </c>
      <c r="U40" s="20"/>
      <c r="X40" s="20">
        <v>100000.0</v>
      </c>
      <c r="Y40" s="20">
        <v>128.0</v>
      </c>
      <c r="Z40" s="20">
        <v>128.0</v>
      </c>
      <c r="AA40" s="20">
        <v>742.0</v>
      </c>
      <c r="AB40" s="20">
        <v>712.0</v>
      </c>
      <c r="AC40" s="20">
        <v>1.042</v>
      </c>
      <c r="AD40" s="20" t="str">
        <f t="shared" si="3"/>
        <v>100000,128</v>
      </c>
      <c r="AE40" s="20"/>
    </row>
    <row r="41">
      <c r="A41" s="20">
        <v>500000.0</v>
      </c>
      <c r="B41" s="20">
        <v>128.0</v>
      </c>
      <c r="C41" s="20">
        <v>128.0</v>
      </c>
      <c r="D41" s="20">
        <v>784.0</v>
      </c>
      <c r="E41" s="20">
        <v>720.0</v>
      </c>
      <c r="F41" s="20">
        <v>1.089</v>
      </c>
      <c r="G41" s="29" t="str">
        <f t="shared" si="2"/>
        <v>500000,128</v>
      </c>
      <c r="N41" s="20">
        <v>1000000.0</v>
      </c>
      <c r="O41" s="20">
        <v>128.0</v>
      </c>
      <c r="P41" s="20">
        <v>128.0</v>
      </c>
      <c r="Q41" s="20">
        <v>1000.0</v>
      </c>
      <c r="R41" s="20">
        <v>926.0</v>
      </c>
      <c r="S41" s="20">
        <v>1.08</v>
      </c>
      <c r="T41" s="20" t="str">
        <f t="shared" si="1"/>
        <v>1000000,128</v>
      </c>
      <c r="U41" s="20"/>
      <c r="X41" s="20">
        <v>300000.0</v>
      </c>
      <c r="Y41" s="20">
        <v>128.0</v>
      </c>
      <c r="Z41" s="20">
        <v>128.0</v>
      </c>
      <c r="AA41" s="20">
        <v>1049.0</v>
      </c>
      <c r="AB41" s="20">
        <v>735.0</v>
      </c>
      <c r="AC41" s="20">
        <v>1.427</v>
      </c>
      <c r="AD41" s="20" t="str">
        <f t="shared" si="3"/>
        <v>300000,128</v>
      </c>
      <c r="AE41" s="20"/>
    </row>
    <row r="42">
      <c r="A42" s="20">
        <v>1000000.0</v>
      </c>
      <c r="B42" s="20">
        <v>128.0</v>
      </c>
      <c r="C42" s="20">
        <v>128.0</v>
      </c>
      <c r="D42" s="20">
        <v>829.0</v>
      </c>
      <c r="E42" s="20">
        <v>728.0</v>
      </c>
      <c r="F42" s="20">
        <v>1.139</v>
      </c>
      <c r="G42" s="29" t="str">
        <f t="shared" si="2"/>
        <v>1000000,128</v>
      </c>
      <c r="N42" s="20">
        <v>2000000.0</v>
      </c>
      <c r="O42" s="20">
        <v>128.0</v>
      </c>
      <c r="P42" s="20">
        <v>128.0</v>
      </c>
      <c r="Q42" s="20">
        <v>998.0</v>
      </c>
      <c r="R42" s="20">
        <v>993.0</v>
      </c>
      <c r="S42" s="20">
        <v>1.005</v>
      </c>
      <c r="T42" s="20" t="str">
        <f t="shared" si="1"/>
        <v>2000000,128</v>
      </c>
      <c r="U42" s="20"/>
      <c r="X42" s="20">
        <v>500000.0</v>
      </c>
      <c r="Y42" s="20">
        <v>128.0</v>
      </c>
      <c r="Z42" s="20">
        <v>128.0</v>
      </c>
      <c r="AA42" s="20">
        <v>840.0</v>
      </c>
      <c r="AB42" s="20">
        <v>710.0</v>
      </c>
      <c r="AC42" s="20">
        <v>1.183</v>
      </c>
      <c r="AD42" s="20" t="str">
        <f t="shared" si="3"/>
        <v>500000,128</v>
      </c>
      <c r="AE42" s="20"/>
    </row>
    <row r="43">
      <c r="A43" s="20">
        <v>2000000.0</v>
      </c>
      <c r="B43" s="20">
        <v>128.0</v>
      </c>
      <c r="C43" s="20">
        <v>128.0</v>
      </c>
      <c r="D43" s="20">
        <v>765.0</v>
      </c>
      <c r="E43" s="20">
        <v>744.0</v>
      </c>
      <c r="F43" s="20">
        <v>1.028</v>
      </c>
      <c r="G43" s="29" t="str">
        <f t="shared" si="2"/>
        <v>2000000,128</v>
      </c>
      <c r="N43" s="56"/>
      <c r="O43" s="56"/>
      <c r="P43" s="56"/>
      <c r="Q43" s="56"/>
      <c r="R43" s="56"/>
      <c r="S43" s="56"/>
      <c r="T43" s="56"/>
      <c r="U43" s="56"/>
      <c r="X43" s="20">
        <v>1000000.0</v>
      </c>
      <c r="Y43" s="20">
        <v>128.0</v>
      </c>
      <c r="Z43" s="20">
        <v>128.0</v>
      </c>
      <c r="AA43" s="20">
        <v>776.0</v>
      </c>
      <c r="AB43" s="20">
        <v>729.0</v>
      </c>
      <c r="AC43" s="20">
        <v>1.064</v>
      </c>
      <c r="AD43" s="20" t="str">
        <f t="shared" si="3"/>
        <v>1000000,128</v>
      </c>
      <c r="AE43" s="20"/>
    </row>
    <row r="44">
      <c r="A44" s="20" t="s">
        <v>98</v>
      </c>
      <c r="B44" s="20" t="s">
        <v>91</v>
      </c>
      <c r="C44" s="20" t="s">
        <v>99</v>
      </c>
      <c r="D44" s="20" t="s">
        <v>100</v>
      </c>
      <c r="E44" s="20" t="s">
        <v>101</v>
      </c>
      <c r="F44" s="20" t="s">
        <v>102</v>
      </c>
      <c r="G44" s="29" t="str">
        <f t="shared" si="2"/>
        <v>Emb,dim</v>
      </c>
      <c r="N44" s="20" t="s">
        <v>98</v>
      </c>
      <c r="O44" s="20" t="s">
        <v>91</v>
      </c>
      <c r="P44" s="20" t="s">
        <v>99</v>
      </c>
      <c r="Q44" s="20" t="s">
        <v>100</v>
      </c>
      <c r="R44" s="20" t="s">
        <v>101</v>
      </c>
      <c r="S44" s="20" t="s">
        <v>102</v>
      </c>
      <c r="T44" s="20"/>
      <c r="U44" s="20" t="s">
        <v>103</v>
      </c>
      <c r="X44" s="20">
        <v>2000000.0</v>
      </c>
      <c r="Y44" s="20">
        <v>128.0</v>
      </c>
      <c r="Z44" s="20">
        <v>128.0</v>
      </c>
      <c r="AA44" s="20">
        <v>767.0</v>
      </c>
      <c r="AB44" s="20">
        <v>777.0</v>
      </c>
      <c r="AC44" s="20">
        <v>0.987</v>
      </c>
      <c r="AD44" s="20" t="str">
        <f t="shared" si="3"/>
        <v>2000000,128</v>
      </c>
      <c r="AE44" s="20"/>
    </row>
    <row r="45">
      <c r="A45" s="20">
        <v>10000.0</v>
      </c>
      <c r="B45" s="20">
        <v>256.0</v>
      </c>
      <c r="C45" s="20">
        <v>8.0</v>
      </c>
      <c r="D45" s="20">
        <v>1252.0</v>
      </c>
      <c r="E45" s="20">
        <v>1377.0</v>
      </c>
      <c r="F45" s="20">
        <v>0.909</v>
      </c>
      <c r="G45" s="29" t="str">
        <f t="shared" si="2"/>
        <v>10000,8</v>
      </c>
      <c r="N45" s="20">
        <v>10000.0</v>
      </c>
      <c r="O45" s="20">
        <v>256.0</v>
      </c>
      <c r="P45" s="20">
        <v>8.0</v>
      </c>
      <c r="Q45" s="20">
        <v>1567.0</v>
      </c>
      <c r="R45" s="20">
        <v>1546.0</v>
      </c>
      <c r="S45" s="20">
        <v>1.014</v>
      </c>
      <c r="T45" s="20" t="s">
        <v>106</v>
      </c>
      <c r="U45" s="20"/>
      <c r="X45" s="20" t="s">
        <v>107</v>
      </c>
      <c r="Y45" s="20" t="s">
        <v>99</v>
      </c>
      <c r="Z45" s="20" t="s">
        <v>100</v>
      </c>
      <c r="AA45" s="20" t="s">
        <v>101</v>
      </c>
      <c r="AB45" s="20" t="s">
        <v>102</v>
      </c>
      <c r="AC45" s="20" t="s">
        <v>108</v>
      </c>
      <c r="AD45" s="20" t="str">
        <f t="shared" si="3"/>
        <v>Emb_size,pf_dist</v>
      </c>
      <c r="AE45" s="20"/>
    </row>
    <row r="46">
      <c r="A46" s="20">
        <v>32128.0</v>
      </c>
      <c r="B46" s="20">
        <v>256.0</v>
      </c>
      <c r="C46" s="20">
        <v>8.0</v>
      </c>
      <c r="D46" s="20">
        <v>1375.0</v>
      </c>
      <c r="E46" s="20">
        <v>1402.0</v>
      </c>
      <c r="F46" s="20">
        <v>0.981</v>
      </c>
      <c r="G46" s="29" t="str">
        <f t="shared" si="2"/>
        <v>32128,8</v>
      </c>
      <c r="N46" s="20">
        <v>32128.0</v>
      </c>
      <c r="O46" s="20">
        <v>256.0</v>
      </c>
      <c r="P46" s="20">
        <v>8.0</v>
      </c>
      <c r="Q46" s="20">
        <v>1789.0</v>
      </c>
      <c r="R46" s="20">
        <v>2329.0</v>
      </c>
      <c r="S46" s="20">
        <v>0.768</v>
      </c>
      <c r="T46" s="20" t="s">
        <v>106</v>
      </c>
      <c r="U46" s="20"/>
      <c r="X46" s="20">
        <v>10000.0</v>
      </c>
      <c r="Y46" s="20">
        <v>256.0</v>
      </c>
      <c r="Z46" s="20">
        <v>8.0</v>
      </c>
      <c r="AA46" s="20">
        <v>1264.0</v>
      </c>
      <c r="AB46" s="20">
        <v>1396.0</v>
      </c>
      <c r="AC46" s="20">
        <v>0.905</v>
      </c>
      <c r="AD46" s="20" t="str">
        <f t="shared" si="3"/>
        <v>10000,8</v>
      </c>
      <c r="AE46" s="20"/>
    </row>
    <row r="47">
      <c r="A47" s="20">
        <v>50000.0</v>
      </c>
      <c r="B47" s="20">
        <v>256.0</v>
      </c>
      <c r="C47" s="20">
        <v>8.0</v>
      </c>
      <c r="D47" s="20">
        <v>1842.0</v>
      </c>
      <c r="E47" s="20">
        <v>1715.0</v>
      </c>
      <c r="F47" s="20">
        <v>1.074</v>
      </c>
      <c r="G47" s="29" t="str">
        <f t="shared" si="2"/>
        <v>50000,8</v>
      </c>
      <c r="N47" s="20">
        <v>50000.0</v>
      </c>
      <c r="O47" s="20">
        <v>256.0</v>
      </c>
      <c r="P47" s="20">
        <v>8.0</v>
      </c>
      <c r="Q47" s="20">
        <v>2160.0</v>
      </c>
      <c r="R47" s="20">
        <v>1701.0</v>
      </c>
      <c r="S47" s="20">
        <v>1.27</v>
      </c>
      <c r="T47" s="20" t="s">
        <v>106</v>
      </c>
      <c r="U47" s="20"/>
      <c r="X47" s="20">
        <v>32128.0</v>
      </c>
      <c r="Y47" s="20">
        <v>256.0</v>
      </c>
      <c r="Z47" s="20">
        <v>8.0</v>
      </c>
      <c r="AA47" s="20">
        <v>1540.0</v>
      </c>
      <c r="AB47" s="20">
        <v>1557.0</v>
      </c>
      <c r="AC47" s="20">
        <v>0.989</v>
      </c>
      <c r="AD47" s="20" t="str">
        <f t="shared" si="3"/>
        <v>32128,8</v>
      </c>
      <c r="AE47" s="20"/>
    </row>
    <row r="48">
      <c r="A48" s="20">
        <v>100000.0</v>
      </c>
      <c r="B48" s="20">
        <v>256.0</v>
      </c>
      <c r="C48" s="20">
        <v>8.0</v>
      </c>
      <c r="D48" s="20">
        <v>1700.0</v>
      </c>
      <c r="E48" s="20">
        <v>1652.0</v>
      </c>
      <c r="F48" s="20">
        <v>1.029</v>
      </c>
      <c r="G48" s="29" t="str">
        <f t="shared" si="2"/>
        <v>100000,8</v>
      </c>
      <c r="N48" s="20">
        <v>100000.0</v>
      </c>
      <c r="O48" s="20">
        <v>256.0</v>
      </c>
      <c r="P48" s="20">
        <v>8.0</v>
      </c>
      <c r="Q48" s="20">
        <v>1882.0</v>
      </c>
      <c r="R48" s="20">
        <v>1614.0</v>
      </c>
      <c r="S48" s="20">
        <v>1.166</v>
      </c>
      <c r="T48" s="20" t="s">
        <v>106</v>
      </c>
      <c r="U48" s="20"/>
      <c r="X48" s="20">
        <v>50000.0</v>
      </c>
      <c r="Y48" s="20">
        <v>256.0</v>
      </c>
      <c r="Z48" s="20">
        <v>8.0</v>
      </c>
      <c r="AA48" s="20">
        <v>1659.0</v>
      </c>
      <c r="AB48" s="20">
        <v>1420.0</v>
      </c>
      <c r="AC48" s="20">
        <v>1.168</v>
      </c>
      <c r="AD48" s="20" t="str">
        <f t="shared" si="3"/>
        <v>50000,8</v>
      </c>
      <c r="AE48" s="20"/>
    </row>
    <row r="49">
      <c r="A49" s="20">
        <v>300000.0</v>
      </c>
      <c r="B49" s="20">
        <v>256.0</v>
      </c>
      <c r="C49" s="20">
        <v>8.0</v>
      </c>
      <c r="D49" s="20">
        <v>1439.0</v>
      </c>
      <c r="E49" s="20">
        <v>1413.0</v>
      </c>
      <c r="F49" s="20">
        <v>1.018</v>
      </c>
      <c r="G49" s="29" t="str">
        <f t="shared" si="2"/>
        <v>300000,8</v>
      </c>
      <c r="N49" s="20">
        <v>300000.0</v>
      </c>
      <c r="O49" s="20">
        <v>256.0</v>
      </c>
      <c r="P49" s="20">
        <v>8.0</v>
      </c>
      <c r="Q49" s="20">
        <v>1901.0</v>
      </c>
      <c r="R49" s="20">
        <v>1681.0</v>
      </c>
      <c r="S49" s="20">
        <v>1.131</v>
      </c>
      <c r="T49" s="20" t="s">
        <v>106</v>
      </c>
      <c r="U49" s="20"/>
      <c r="X49" s="20">
        <v>100000.0</v>
      </c>
      <c r="Y49" s="20">
        <v>256.0</v>
      </c>
      <c r="Z49" s="20">
        <v>8.0</v>
      </c>
      <c r="AA49" s="20">
        <v>1783.0</v>
      </c>
      <c r="AB49" s="20">
        <v>1550.0</v>
      </c>
      <c r="AC49" s="20">
        <v>1.15</v>
      </c>
      <c r="AD49" s="20" t="str">
        <f t="shared" si="3"/>
        <v>100000,8</v>
      </c>
      <c r="AE49" s="20"/>
    </row>
    <row r="50">
      <c r="A50" s="20">
        <v>500000.0</v>
      </c>
      <c r="B50" s="20">
        <v>256.0</v>
      </c>
      <c r="C50" s="20">
        <v>8.0</v>
      </c>
      <c r="D50" s="20">
        <v>1437.0</v>
      </c>
      <c r="E50" s="20">
        <v>1417.0</v>
      </c>
      <c r="F50" s="20">
        <v>1.014</v>
      </c>
      <c r="G50" s="29" t="str">
        <f t="shared" si="2"/>
        <v>500000,8</v>
      </c>
      <c r="N50" s="20">
        <v>500000.0</v>
      </c>
      <c r="O50" s="20">
        <v>256.0</v>
      </c>
      <c r="P50" s="20">
        <v>8.0</v>
      </c>
      <c r="Q50" s="20">
        <v>1807.0</v>
      </c>
      <c r="R50" s="20">
        <v>1693.0</v>
      </c>
      <c r="S50" s="20">
        <v>1.067</v>
      </c>
      <c r="T50" s="20" t="s">
        <v>106</v>
      </c>
      <c r="U50" s="20"/>
      <c r="X50" s="20">
        <v>300000.0</v>
      </c>
      <c r="Y50" s="20">
        <v>256.0</v>
      </c>
      <c r="Z50" s="20">
        <v>8.0</v>
      </c>
      <c r="AA50" s="20">
        <v>1583.0</v>
      </c>
      <c r="AB50" s="20">
        <v>1441.0</v>
      </c>
      <c r="AC50" s="20">
        <v>1.099</v>
      </c>
      <c r="AD50" s="20" t="str">
        <f t="shared" si="3"/>
        <v>300000,8</v>
      </c>
      <c r="AE50" s="20"/>
    </row>
    <row r="51">
      <c r="A51" s="20">
        <v>1000000.0</v>
      </c>
      <c r="B51" s="20">
        <v>256.0</v>
      </c>
      <c r="C51" s="20">
        <v>8.0</v>
      </c>
      <c r="D51" s="20">
        <v>1524.0</v>
      </c>
      <c r="E51" s="20">
        <v>1459.0</v>
      </c>
      <c r="F51" s="20">
        <v>1.045</v>
      </c>
      <c r="G51" s="29" t="str">
        <f t="shared" si="2"/>
        <v>1000000,8</v>
      </c>
      <c r="N51" s="20">
        <v>1000000.0</v>
      </c>
      <c r="O51" s="20">
        <v>256.0</v>
      </c>
      <c r="P51" s="20">
        <v>8.0</v>
      </c>
      <c r="Q51" s="20">
        <v>1802.0</v>
      </c>
      <c r="R51" s="20">
        <v>1734.0</v>
      </c>
      <c r="S51" s="20">
        <v>1.039</v>
      </c>
      <c r="T51" s="20" t="s">
        <v>106</v>
      </c>
      <c r="U51" s="20"/>
      <c r="X51" s="20">
        <v>500000.0</v>
      </c>
      <c r="Y51" s="20">
        <v>256.0</v>
      </c>
      <c r="Z51" s="20">
        <v>8.0</v>
      </c>
      <c r="AA51" s="20">
        <v>1556.0</v>
      </c>
      <c r="AB51" s="20">
        <v>1426.0</v>
      </c>
      <c r="AC51" s="20">
        <v>1.091</v>
      </c>
      <c r="AD51" s="20" t="str">
        <f t="shared" si="3"/>
        <v>500000,8</v>
      </c>
      <c r="AE51" s="20"/>
    </row>
    <row r="52">
      <c r="A52" s="20">
        <v>2000000.0</v>
      </c>
      <c r="B52" s="20">
        <v>256.0</v>
      </c>
      <c r="C52" s="20">
        <v>8.0</v>
      </c>
      <c r="D52" s="20">
        <v>1476.0</v>
      </c>
      <c r="E52" s="20">
        <v>1481.0</v>
      </c>
      <c r="F52" s="20">
        <v>0.997</v>
      </c>
      <c r="G52" s="29" t="str">
        <f t="shared" si="2"/>
        <v>2000000,8</v>
      </c>
      <c r="N52" s="20">
        <v>2000000.0</v>
      </c>
      <c r="O52" s="20">
        <v>256.0</v>
      </c>
      <c r="P52" s="20">
        <v>8.0</v>
      </c>
      <c r="Q52" s="20">
        <v>1815.0</v>
      </c>
      <c r="R52" s="20">
        <v>1763.0</v>
      </c>
      <c r="S52" s="20">
        <v>1.029</v>
      </c>
      <c r="T52" s="20" t="s">
        <v>106</v>
      </c>
      <c r="U52" s="20"/>
      <c r="X52" s="20">
        <v>1000000.0</v>
      </c>
      <c r="Y52" s="20">
        <v>256.0</v>
      </c>
      <c r="Z52" s="20">
        <v>8.0</v>
      </c>
      <c r="AA52" s="20">
        <v>1502.0</v>
      </c>
      <c r="AB52" s="20">
        <v>1451.0</v>
      </c>
      <c r="AC52" s="20">
        <v>1.035</v>
      </c>
      <c r="AD52" s="20" t="str">
        <f t="shared" si="3"/>
        <v>1000000,8</v>
      </c>
      <c r="AE52" s="20"/>
    </row>
    <row r="53">
      <c r="A53" s="20">
        <v>10000.0</v>
      </c>
      <c r="B53" s="20">
        <v>256.0</v>
      </c>
      <c r="C53" s="20">
        <v>16.0</v>
      </c>
      <c r="D53" s="20">
        <v>1240.0</v>
      </c>
      <c r="E53" s="20">
        <v>912.0</v>
      </c>
      <c r="F53" s="20">
        <v>1.36</v>
      </c>
      <c r="G53" s="29" t="str">
        <f t="shared" si="2"/>
        <v>10000,16</v>
      </c>
      <c r="N53" s="20">
        <v>10000.0</v>
      </c>
      <c r="O53" s="20">
        <v>256.0</v>
      </c>
      <c r="P53" s="20">
        <v>16.0</v>
      </c>
      <c r="Q53" s="20">
        <v>1520.0</v>
      </c>
      <c r="R53" s="20">
        <v>1126.0</v>
      </c>
      <c r="S53" s="20">
        <v>1.35</v>
      </c>
      <c r="T53" s="20" t="s">
        <v>106</v>
      </c>
      <c r="U53" s="20"/>
      <c r="X53" s="20">
        <v>2000000.0</v>
      </c>
      <c r="Y53" s="20">
        <v>256.0</v>
      </c>
      <c r="Z53" s="20">
        <v>8.0</v>
      </c>
      <c r="AA53" s="20">
        <v>1435.0</v>
      </c>
      <c r="AB53" s="20">
        <v>1487.0</v>
      </c>
      <c r="AC53" s="20">
        <v>0.965</v>
      </c>
      <c r="AD53" s="20" t="str">
        <f t="shared" si="3"/>
        <v>2000000,8</v>
      </c>
      <c r="AE53" s="20"/>
    </row>
    <row r="54">
      <c r="A54" s="20">
        <v>32128.0</v>
      </c>
      <c r="B54" s="20">
        <v>256.0</v>
      </c>
      <c r="C54" s="20">
        <v>16.0</v>
      </c>
      <c r="D54" s="20">
        <v>1494.0</v>
      </c>
      <c r="E54" s="20">
        <v>978.0</v>
      </c>
      <c r="F54" s="20">
        <v>1.528</v>
      </c>
      <c r="G54" s="29" t="str">
        <f t="shared" si="2"/>
        <v>32128,16</v>
      </c>
      <c r="N54" s="20">
        <v>32128.0</v>
      </c>
      <c r="O54" s="20">
        <v>256.0</v>
      </c>
      <c r="P54" s="20">
        <v>16.0</v>
      </c>
      <c r="Q54" s="20">
        <v>2404.0</v>
      </c>
      <c r="R54" s="20">
        <v>1514.0</v>
      </c>
      <c r="S54" s="20">
        <v>1.588</v>
      </c>
      <c r="T54" s="20" t="s">
        <v>106</v>
      </c>
      <c r="U54" s="20"/>
      <c r="X54" s="20">
        <v>10000.0</v>
      </c>
      <c r="Y54" s="20">
        <v>256.0</v>
      </c>
      <c r="Z54" s="20">
        <v>16.0</v>
      </c>
      <c r="AA54" s="20">
        <v>1236.0</v>
      </c>
      <c r="AB54" s="20">
        <v>914.0</v>
      </c>
      <c r="AC54" s="20">
        <v>1.352</v>
      </c>
      <c r="AD54" s="20" t="str">
        <f t="shared" si="3"/>
        <v>10000,16</v>
      </c>
      <c r="AE54" s="20"/>
    </row>
    <row r="55">
      <c r="A55" s="20">
        <v>50000.0</v>
      </c>
      <c r="B55" s="20">
        <v>256.0</v>
      </c>
      <c r="C55" s="20">
        <v>16.0</v>
      </c>
      <c r="D55" s="20">
        <v>1388.0</v>
      </c>
      <c r="E55" s="20">
        <v>897.0</v>
      </c>
      <c r="F55" s="20">
        <v>1.547</v>
      </c>
      <c r="G55" s="29" t="str">
        <f t="shared" si="2"/>
        <v>50000,16</v>
      </c>
      <c r="N55" s="20">
        <v>50000.0</v>
      </c>
      <c r="O55" s="20">
        <v>256.0</v>
      </c>
      <c r="P55" s="20">
        <v>16.0</v>
      </c>
      <c r="Q55" s="20">
        <v>2397.0</v>
      </c>
      <c r="R55" s="20">
        <v>1325.0</v>
      </c>
      <c r="S55" s="20">
        <v>1.809</v>
      </c>
      <c r="T55" s="20" t="s">
        <v>106</v>
      </c>
      <c r="U55" s="20"/>
      <c r="X55" s="20">
        <v>32128.0</v>
      </c>
      <c r="Y55" s="20">
        <v>256.0</v>
      </c>
      <c r="Z55" s="20">
        <v>16.0</v>
      </c>
      <c r="AA55" s="20">
        <v>1474.0</v>
      </c>
      <c r="AB55" s="20">
        <v>935.0</v>
      </c>
      <c r="AC55" s="20">
        <v>1.576</v>
      </c>
      <c r="AD55" s="20" t="str">
        <f t="shared" si="3"/>
        <v>32128,16</v>
      </c>
      <c r="AE55" s="20"/>
    </row>
    <row r="56">
      <c r="A56" s="20">
        <v>100000.0</v>
      </c>
      <c r="B56" s="20">
        <v>256.0</v>
      </c>
      <c r="C56" s="20">
        <v>16.0</v>
      </c>
      <c r="D56" s="20">
        <v>1696.0</v>
      </c>
      <c r="E56" s="20">
        <v>1264.0</v>
      </c>
      <c r="F56" s="20">
        <v>1.342</v>
      </c>
      <c r="G56" s="29" t="str">
        <f t="shared" si="2"/>
        <v>100000,16</v>
      </c>
      <c r="N56" s="20">
        <v>100000.0</v>
      </c>
      <c r="O56" s="20">
        <v>256.0</v>
      </c>
      <c r="P56" s="20">
        <v>16.0</v>
      </c>
      <c r="Q56" s="20">
        <v>2021.0</v>
      </c>
      <c r="R56" s="20">
        <v>1208.0</v>
      </c>
      <c r="S56" s="20">
        <v>1.673</v>
      </c>
      <c r="T56" s="20" t="s">
        <v>106</v>
      </c>
      <c r="U56" s="20"/>
      <c r="X56" s="20">
        <v>50000.0</v>
      </c>
      <c r="Y56" s="20">
        <v>256.0</v>
      </c>
      <c r="Z56" s="20">
        <v>16.0</v>
      </c>
      <c r="AA56" s="20">
        <v>1456.0</v>
      </c>
      <c r="AB56" s="20">
        <v>931.0</v>
      </c>
      <c r="AC56" s="20">
        <v>1.564</v>
      </c>
      <c r="AD56" s="20" t="str">
        <f t="shared" si="3"/>
        <v>50000,16</v>
      </c>
      <c r="AE56" s="20"/>
    </row>
    <row r="57">
      <c r="A57" s="20">
        <v>300000.0</v>
      </c>
      <c r="B57" s="20">
        <v>256.0</v>
      </c>
      <c r="C57" s="20">
        <v>16.0</v>
      </c>
      <c r="D57" s="20">
        <v>1430.0</v>
      </c>
      <c r="E57" s="20">
        <v>956.0</v>
      </c>
      <c r="F57" s="20">
        <v>1.496</v>
      </c>
      <c r="G57" s="29" t="str">
        <f t="shared" si="2"/>
        <v>300000,16</v>
      </c>
      <c r="N57" s="20">
        <v>300000.0</v>
      </c>
      <c r="O57" s="20">
        <v>256.0</v>
      </c>
      <c r="P57" s="20">
        <v>16.0</v>
      </c>
      <c r="Q57" s="20">
        <v>1856.0</v>
      </c>
      <c r="R57" s="20">
        <v>1230.0</v>
      </c>
      <c r="S57" s="20">
        <v>1.509</v>
      </c>
      <c r="T57" s="20" t="s">
        <v>106</v>
      </c>
      <c r="U57" s="20"/>
      <c r="X57" s="20">
        <v>100000.0</v>
      </c>
      <c r="Y57" s="20">
        <v>256.0</v>
      </c>
      <c r="Z57" s="20">
        <v>16.0</v>
      </c>
      <c r="AA57" s="20">
        <v>1698.0</v>
      </c>
      <c r="AB57" s="20">
        <v>1128.0</v>
      </c>
      <c r="AC57" s="20">
        <v>1.505</v>
      </c>
      <c r="AD57" s="20" t="str">
        <f t="shared" si="3"/>
        <v>100000,16</v>
      </c>
      <c r="AE57" s="20"/>
    </row>
    <row r="58">
      <c r="A58" s="20">
        <v>500000.0</v>
      </c>
      <c r="B58" s="20">
        <v>256.0</v>
      </c>
      <c r="C58" s="20">
        <v>16.0</v>
      </c>
      <c r="D58" s="20">
        <v>1514.0</v>
      </c>
      <c r="E58" s="20">
        <v>948.0</v>
      </c>
      <c r="F58" s="20">
        <v>1.597</v>
      </c>
      <c r="G58" s="29" t="str">
        <f t="shared" si="2"/>
        <v>500000,16</v>
      </c>
      <c r="N58" s="20">
        <v>500000.0</v>
      </c>
      <c r="O58" s="20">
        <v>256.0</v>
      </c>
      <c r="P58" s="20">
        <v>16.0</v>
      </c>
      <c r="Q58" s="20">
        <v>1931.0</v>
      </c>
      <c r="R58" s="20">
        <v>1205.0</v>
      </c>
      <c r="S58" s="20">
        <v>1.602</v>
      </c>
      <c r="T58" s="20" t="s">
        <v>106</v>
      </c>
      <c r="U58" s="20"/>
      <c r="X58" s="20">
        <v>300000.0</v>
      </c>
      <c r="Y58" s="20">
        <v>256.0</v>
      </c>
      <c r="Z58" s="20">
        <v>16.0</v>
      </c>
      <c r="AA58" s="20">
        <v>1557.0</v>
      </c>
      <c r="AB58" s="20">
        <v>930.0</v>
      </c>
      <c r="AC58" s="20">
        <v>1.674</v>
      </c>
      <c r="AD58" s="20" t="str">
        <f t="shared" si="3"/>
        <v>300000,16</v>
      </c>
      <c r="AE58" s="20"/>
    </row>
    <row r="59">
      <c r="A59" s="20">
        <v>1000000.0</v>
      </c>
      <c r="B59" s="20">
        <v>256.0</v>
      </c>
      <c r="C59" s="20">
        <v>16.0</v>
      </c>
      <c r="D59" s="20">
        <v>1419.0</v>
      </c>
      <c r="E59" s="20">
        <v>952.0</v>
      </c>
      <c r="F59" s="20">
        <v>1.491</v>
      </c>
      <c r="G59" s="29" t="str">
        <f t="shared" si="2"/>
        <v>1000000,16</v>
      </c>
      <c r="N59" s="20">
        <v>1000000.0</v>
      </c>
      <c r="O59" s="20">
        <v>256.0</v>
      </c>
      <c r="P59" s="20">
        <v>16.0</v>
      </c>
      <c r="Q59" s="20">
        <v>2161.0</v>
      </c>
      <c r="R59" s="20">
        <v>1212.0</v>
      </c>
      <c r="S59" s="20">
        <v>1.783</v>
      </c>
      <c r="T59" s="20" t="s">
        <v>106</v>
      </c>
      <c r="U59" s="20"/>
      <c r="X59" s="20">
        <v>500000.0</v>
      </c>
      <c r="Y59" s="20">
        <v>256.0</v>
      </c>
      <c r="Z59" s="20">
        <v>16.0</v>
      </c>
      <c r="AA59" s="20">
        <v>1529.0</v>
      </c>
      <c r="AB59" s="20">
        <v>944.0</v>
      </c>
      <c r="AC59" s="20">
        <v>1.62</v>
      </c>
      <c r="AD59" s="20" t="str">
        <f t="shared" si="3"/>
        <v>500000,16</v>
      </c>
      <c r="AE59" s="20"/>
    </row>
    <row r="60">
      <c r="A60" s="20">
        <v>2000000.0</v>
      </c>
      <c r="B60" s="20">
        <v>256.0</v>
      </c>
      <c r="C60" s="20">
        <v>16.0</v>
      </c>
      <c r="D60" s="20">
        <v>1538.0</v>
      </c>
      <c r="E60" s="20">
        <v>1003.0</v>
      </c>
      <c r="F60" s="20">
        <v>1.533</v>
      </c>
      <c r="G60" s="29" t="str">
        <f t="shared" si="2"/>
        <v>2000000,16</v>
      </c>
      <c r="N60" s="20">
        <v>2000000.0</v>
      </c>
      <c r="O60" s="20">
        <v>256.0</v>
      </c>
      <c r="P60" s="20">
        <v>16.0</v>
      </c>
      <c r="Q60" s="20">
        <v>1881.0</v>
      </c>
      <c r="R60" s="20">
        <v>1230.0</v>
      </c>
      <c r="S60" s="20">
        <v>1.529</v>
      </c>
      <c r="T60" s="20" t="s">
        <v>106</v>
      </c>
      <c r="U60" s="20"/>
      <c r="X60" s="20">
        <v>1000000.0</v>
      </c>
      <c r="Y60" s="20">
        <v>256.0</v>
      </c>
      <c r="Z60" s="20">
        <v>16.0</v>
      </c>
      <c r="AA60" s="20">
        <v>1607.0</v>
      </c>
      <c r="AB60" s="20">
        <v>987.0</v>
      </c>
      <c r="AC60" s="20">
        <v>1.628</v>
      </c>
      <c r="AD60" s="20" t="str">
        <f t="shared" si="3"/>
        <v>1000000,16</v>
      </c>
      <c r="AE60" s="20"/>
    </row>
    <row r="61">
      <c r="A61" s="20">
        <v>10000.0</v>
      </c>
      <c r="B61" s="20">
        <v>256.0</v>
      </c>
      <c r="C61" s="20">
        <v>32.0</v>
      </c>
      <c r="D61" s="20">
        <v>1301.0</v>
      </c>
      <c r="E61" s="20">
        <v>776.0</v>
      </c>
      <c r="F61" s="20">
        <v>1.677</v>
      </c>
      <c r="G61" s="29" t="str">
        <f t="shared" si="2"/>
        <v>10000,32</v>
      </c>
      <c r="N61" s="20">
        <v>10000.0</v>
      </c>
      <c r="O61" s="20">
        <v>256.0</v>
      </c>
      <c r="P61" s="20">
        <v>32.0</v>
      </c>
      <c r="Q61" s="20">
        <v>1593.0</v>
      </c>
      <c r="R61" s="20">
        <v>1202.0</v>
      </c>
      <c r="S61" s="20">
        <v>1.325</v>
      </c>
      <c r="T61" s="20" t="s">
        <v>106</v>
      </c>
      <c r="U61" s="20"/>
      <c r="X61" s="20">
        <v>2000000.0</v>
      </c>
      <c r="Y61" s="20">
        <v>256.0</v>
      </c>
      <c r="Z61" s="20">
        <v>16.0</v>
      </c>
      <c r="AA61" s="20">
        <v>1603.0</v>
      </c>
      <c r="AB61" s="20">
        <v>1011.0</v>
      </c>
      <c r="AC61" s="20">
        <v>1.586</v>
      </c>
      <c r="AD61" s="20" t="str">
        <f t="shared" si="3"/>
        <v>2000000,16</v>
      </c>
      <c r="AE61" s="20"/>
    </row>
    <row r="62">
      <c r="A62" s="20">
        <v>32128.0</v>
      </c>
      <c r="B62" s="20">
        <v>256.0</v>
      </c>
      <c r="C62" s="20">
        <v>32.0</v>
      </c>
      <c r="D62" s="20">
        <v>1617.0</v>
      </c>
      <c r="E62" s="20">
        <v>908.0</v>
      </c>
      <c r="F62" s="20">
        <v>1.781</v>
      </c>
      <c r="G62" s="29" t="str">
        <f t="shared" si="2"/>
        <v>32128,32</v>
      </c>
      <c r="N62" s="20">
        <v>32128.0</v>
      </c>
      <c r="O62" s="20">
        <v>256.0</v>
      </c>
      <c r="P62" s="20">
        <v>32.0</v>
      </c>
      <c r="Q62" s="20">
        <v>2066.0</v>
      </c>
      <c r="R62" s="20">
        <v>1541.0</v>
      </c>
      <c r="S62" s="20">
        <v>1.341</v>
      </c>
      <c r="T62" s="20" t="s">
        <v>106</v>
      </c>
      <c r="U62" s="20"/>
      <c r="X62" s="20">
        <v>10000.0</v>
      </c>
      <c r="Y62" s="20">
        <v>256.0</v>
      </c>
      <c r="Z62" s="20">
        <v>32.0</v>
      </c>
      <c r="AA62" s="20">
        <v>1263.0</v>
      </c>
      <c r="AB62" s="20">
        <v>830.0</v>
      </c>
      <c r="AC62" s="20">
        <v>1.522</v>
      </c>
      <c r="AD62" s="20" t="str">
        <f t="shared" si="3"/>
        <v>10000,32</v>
      </c>
      <c r="AE62" s="20"/>
    </row>
    <row r="63">
      <c r="A63" s="20">
        <v>50000.0</v>
      </c>
      <c r="B63" s="20">
        <v>256.0</v>
      </c>
      <c r="C63" s="20">
        <v>32.0</v>
      </c>
      <c r="D63" s="20">
        <v>1410.0</v>
      </c>
      <c r="E63" s="20">
        <v>773.0</v>
      </c>
      <c r="F63" s="20">
        <v>1.824</v>
      </c>
      <c r="G63" s="29" t="str">
        <f t="shared" si="2"/>
        <v>50000,32</v>
      </c>
      <c r="N63" s="20">
        <v>50000.0</v>
      </c>
      <c r="O63" s="20">
        <v>256.0</v>
      </c>
      <c r="P63" s="20">
        <v>32.0</v>
      </c>
      <c r="Q63" s="20">
        <v>2226.0</v>
      </c>
      <c r="R63" s="20">
        <v>2047.0</v>
      </c>
      <c r="S63" s="20">
        <v>1.087</v>
      </c>
      <c r="T63" s="20" t="s">
        <v>106</v>
      </c>
      <c r="U63" s="20"/>
      <c r="X63" s="20">
        <v>32128.0</v>
      </c>
      <c r="Y63" s="20">
        <v>256.0</v>
      </c>
      <c r="Z63" s="20">
        <v>32.0</v>
      </c>
      <c r="AA63" s="20">
        <v>1390.0</v>
      </c>
      <c r="AB63" s="20">
        <v>799.0</v>
      </c>
      <c r="AC63" s="20">
        <v>1.74</v>
      </c>
      <c r="AD63" s="20" t="str">
        <f t="shared" si="3"/>
        <v>32128,32</v>
      </c>
      <c r="AE63" s="20"/>
    </row>
    <row r="64">
      <c r="A64" s="20">
        <v>100000.0</v>
      </c>
      <c r="B64" s="20">
        <v>256.0</v>
      </c>
      <c r="C64" s="20">
        <v>32.0</v>
      </c>
      <c r="D64" s="20">
        <v>1530.0</v>
      </c>
      <c r="E64" s="20">
        <v>943.0</v>
      </c>
      <c r="F64" s="20">
        <v>1.622</v>
      </c>
      <c r="G64" s="29" t="str">
        <f t="shared" si="2"/>
        <v>100000,32</v>
      </c>
      <c r="N64" s="20">
        <v>100000.0</v>
      </c>
      <c r="O64" s="20">
        <v>256.0</v>
      </c>
      <c r="P64" s="20">
        <v>32.0</v>
      </c>
      <c r="Q64" s="20">
        <v>1896.0</v>
      </c>
      <c r="R64" s="20">
        <v>1157.0</v>
      </c>
      <c r="S64" s="20">
        <v>1.639</v>
      </c>
      <c r="T64" s="20" t="s">
        <v>106</v>
      </c>
      <c r="U64" s="20"/>
      <c r="X64" s="20">
        <v>50000.0</v>
      </c>
      <c r="Y64" s="20">
        <v>256.0</v>
      </c>
      <c r="Z64" s="20">
        <v>32.0</v>
      </c>
      <c r="AA64" s="20">
        <v>1384.0</v>
      </c>
      <c r="AB64" s="20">
        <v>779.0</v>
      </c>
      <c r="AC64" s="20">
        <v>1.777</v>
      </c>
      <c r="AD64" s="20" t="str">
        <f t="shared" si="3"/>
        <v>50000,32</v>
      </c>
      <c r="AE64" s="20"/>
    </row>
    <row r="65">
      <c r="A65" s="20">
        <v>300000.0</v>
      </c>
      <c r="B65" s="20">
        <v>256.0</v>
      </c>
      <c r="C65" s="20">
        <v>32.0</v>
      </c>
      <c r="D65" s="20">
        <v>1432.0</v>
      </c>
      <c r="E65" s="20">
        <v>822.0</v>
      </c>
      <c r="F65" s="20">
        <v>1.742</v>
      </c>
      <c r="G65" s="29" t="str">
        <f t="shared" si="2"/>
        <v>300000,32</v>
      </c>
      <c r="N65" s="20">
        <v>300000.0</v>
      </c>
      <c r="O65" s="20">
        <v>256.0</v>
      </c>
      <c r="P65" s="20">
        <v>32.0</v>
      </c>
      <c r="Q65" s="20">
        <v>2103.0</v>
      </c>
      <c r="R65" s="20">
        <v>1207.0</v>
      </c>
      <c r="S65" s="20">
        <v>1.742</v>
      </c>
      <c r="T65" s="20" t="s">
        <v>106</v>
      </c>
      <c r="U65" s="20"/>
      <c r="X65" s="20">
        <v>100000.0</v>
      </c>
      <c r="Y65" s="20">
        <v>256.0</v>
      </c>
      <c r="Z65" s="20">
        <v>32.0</v>
      </c>
      <c r="AA65" s="20">
        <v>1685.0</v>
      </c>
      <c r="AB65" s="20">
        <v>946.0</v>
      </c>
      <c r="AC65" s="20">
        <v>1.781</v>
      </c>
      <c r="AD65" s="20" t="str">
        <f t="shared" si="3"/>
        <v>100000,32</v>
      </c>
      <c r="AE65" s="20"/>
    </row>
    <row r="66">
      <c r="A66" s="20">
        <v>500000.0</v>
      </c>
      <c r="B66" s="20">
        <v>256.0</v>
      </c>
      <c r="C66" s="20">
        <v>32.0</v>
      </c>
      <c r="D66" s="20">
        <v>1516.0</v>
      </c>
      <c r="E66" s="20">
        <v>796.0</v>
      </c>
      <c r="F66" s="20">
        <v>1.905</v>
      </c>
      <c r="G66" s="29" t="str">
        <f t="shared" si="2"/>
        <v>500000,32</v>
      </c>
      <c r="N66" s="20">
        <v>500000.0</v>
      </c>
      <c r="O66" s="20">
        <v>256.0</v>
      </c>
      <c r="P66" s="20">
        <v>32.0</v>
      </c>
      <c r="Q66" s="20">
        <v>1984.0</v>
      </c>
      <c r="R66" s="20">
        <v>1187.0</v>
      </c>
      <c r="S66" s="20">
        <v>1.671</v>
      </c>
      <c r="T66" s="20" t="s">
        <v>106</v>
      </c>
      <c r="U66" s="20"/>
      <c r="X66" s="20">
        <v>300000.0</v>
      </c>
      <c r="Y66" s="20">
        <v>256.0</v>
      </c>
      <c r="Z66" s="20">
        <v>32.0</v>
      </c>
      <c r="AA66" s="20">
        <v>1419.0</v>
      </c>
      <c r="AB66" s="20">
        <v>783.0</v>
      </c>
      <c r="AC66" s="20">
        <v>1.812</v>
      </c>
      <c r="AD66" s="20" t="str">
        <f t="shared" si="3"/>
        <v>300000,32</v>
      </c>
      <c r="AE66" s="20"/>
    </row>
    <row r="67">
      <c r="A67" s="20">
        <v>1000000.0</v>
      </c>
      <c r="B67" s="20">
        <v>256.0</v>
      </c>
      <c r="C67" s="20">
        <v>32.0</v>
      </c>
      <c r="D67" s="20">
        <v>1461.0</v>
      </c>
      <c r="E67" s="20">
        <v>830.0</v>
      </c>
      <c r="F67" s="20">
        <v>1.76</v>
      </c>
      <c r="G67" s="29" t="str">
        <f t="shared" si="2"/>
        <v>1000000,32</v>
      </c>
      <c r="N67" s="20">
        <v>1000000.0</v>
      </c>
      <c r="O67" s="20">
        <v>256.0</v>
      </c>
      <c r="P67" s="20">
        <v>32.0</v>
      </c>
      <c r="Q67" s="20">
        <v>1882.0</v>
      </c>
      <c r="R67" s="20">
        <v>2148.0</v>
      </c>
      <c r="S67" s="20">
        <v>0.876</v>
      </c>
      <c r="T67" s="20" t="s">
        <v>106</v>
      </c>
      <c r="U67" s="20"/>
      <c r="X67" s="20">
        <v>500000.0</v>
      </c>
      <c r="Y67" s="20">
        <v>256.0</v>
      </c>
      <c r="Z67" s="20">
        <v>32.0</v>
      </c>
      <c r="AA67" s="20">
        <v>1483.0</v>
      </c>
      <c r="AB67" s="20">
        <v>788.0</v>
      </c>
      <c r="AC67" s="20">
        <v>1.882</v>
      </c>
      <c r="AD67" s="20" t="str">
        <f t="shared" si="3"/>
        <v>500000,32</v>
      </c>
      <c r="AE67" s="20"/>
    </row>
    <row r="68">
      <c r="A68" s="20">
        <v>2000000.0</v>
      </c>
      <c r="B68" s="20">
        <v>256.0</v>
      </c>
      <c r="C68" s="20">
        <v>32.0</v>
      </c>
      <c r="D68" s="20">
        <v>1431.0</v>
      </c>
      <c r="E68" s="20">
        <v>847.0</v>
      </c>
      <c r="F68" s="20">
        <v>1.689</v>
      </c>
      <c r="G68" s="29" t="str">
        <f t="shared" si="2"/>
        <v>2000000,32</v>
      </c>
      <c r="N68" s="20">
        <v>2000000.0</v>
      </c>
      <c r="O68" s="20">
        <v>256.0</v>
      </c>
      <c r="P68" s="20">
        <v>32.0</v>
      </c>
      <c r="Q68" s="20">
        <v>1817.0</v>
      </c>
      <c r="R68" s="20">
        <v>1204.0</v>
      </c>
      <c r="S68" s="20">
        <v>1.509</v>
      </c>
      <c r="T68" s="20" t="s">
        <v>106</v>
      </c>
      <c r="U68" s="20"/>
      <c r="X68" s="20">
        <v>1000000.0</v>
      </c>
      <c r="Y68" s="20">
        <v>256.0</v>
      </c>
      <c r="Z68" s="20">
        <v>32.0</v>
      </c>
      <c r="AA68" s="20">
        <v>1414.0</v>
      </c>
      <c r="AB68" s="20">
        <v>821.0</v>
      </c>
      <c r="AC68" s="20">
        <v>1.722</v>
      </c>
      <c r="AD68" s="20" t="str">
        <f t="shared" si="3"/>
        <v>1000000,32</v>
      </c>
      <c r="AE68" s="20"/>
    </row>
    <row r="69">
      <c r="A69" s="20">
        <v>10000.0</v>
      </c>
      <c r="B69" s="20">
        <v>256.0</v>
      </c>
      <c r="C69" s="20">
        <v>64.0</v>
      </c>
      <c r="D69" s="20">
        <v>1253.0</v>
      </c>
      <c r="E69" s="20">
        <v>856.0</v>
      </c>
      <c r="F69" s="20">
        <v>1.464</v>
      </c>
      <c r="G69" s="29" t="str">
        <f t="shared" si="2"/>
        <v>10000,64</v>
      </c>
      <c r="N69" s="20">
        <v>10000.0</v>
      </c>
      <c r="O69" s="20">
        <v>256.0</v>
      </c>
      <c r="P69" s="20">
        <v>64.0</v>
      </c>
      <c r="Q69" s="20">
        <v>2171.0</v>
      </c>
      <c r="R69" s="20">
        <v>1906.0</v>
      </c>
      <c r="S69" s="20">
        <v>1.139</v>
      </c>
      <c r="T69" s="20" t="s">
        <v>106</v>
      </c>
      <c r="U69" s="20"/>
      <c r="X69" s="20">
        <v>2000000.0</v>
      </c>
      <c r="Y69" s="20">
        <v>256.0</v>
      </c>
      <c r="Z69" s="20">
        <v>32.0</v>
      </c>
      <c r="AA69" s="20">
        <v>1445.0</v>
      </c>
      <c r="AB69" s="20">
        <v>879.0</v>
      </c>
      <c r="AC69" s="20">
        <v>1.644</v>
      </c>
      <c r="AD69" s="20" t="str">
        <f t="shared" si="3"/>
        <v>2000000,32</v>
      </c>
      <c r="AE69" s="20"/>
    </row>
    <row r="70">
      <c r="A70" s="20">
        <v>32128.0</v>
      </c>
      <c r="B70" s="20">
        <v>256.0</v>
      </c>
      <c r="C70" s="20">
        <v>64.0</v>
      </c>
      <c r="D70" s="20">
        <v>1528.0</v>
      </c>
      <c r="E70" s="20">
        <v>878.0</v>
      </c>
      <c r="F70" s="20">
        <v>1.74</v>
      </c>
      <c r="G70" s="29" t="str">
        <f t="shared" si="2"/>
        <v>32128,64</v>
      </c>
      <c r="N70" s="20">
        <v>32128.0</v>
      </c>
      <c r="O70" s="20">
        <v>256.0</v>
      </c>
      <c r="P70" s="20">
        <v>64.0</v>
      </c>
      <c r="Q70" s="20">
        <v>2616.0</v>
      </c>
      <c r="R70" s="20">
        <v>2322.0</v>
      </c>
      <c r="S70" s="20">
        <v>1.127</v>
      </c>
      <c r="T70" s="20" t="s">
        <v>106</v>
      </c>
      <c r="U70" s="20"/>
      <c r="X70" s="20">
        <v>10000.0</v>
      </c>
      <c r="Y70" s="20">
        <v>256.0</v>
      </c>
      <c r="Z70" s="20">
        <v>64.0</v>
      </c>
      <c r="AA70" s="20">
        <v>1253.0</v>
      </c>
      <c r="AB70" s="20">
        <v>860.0</v>
      </c>
      <c r="AC70" s="20">
        <v>1.457</v>
      </c>
      <c r="AD70" s="20" t="str">
        <f t="shared" si="3"/>
        <v>10000,64</v>
      </c>
      <c r="AE70" s="20"/>
    </row>
    <row r="71">
      <c r="A71" s="20">
        <v>50000.0</v>
      </c>
      <c r="B71" s="20">
        <v>256.0</v>
      </c>
      <c r="C71" s="20">
        <v>64.0</v>
      </c>
      <c r="D71" s="20">
        <v>1438.0</v>
      </c>
      <c r="E71" s="20">
        <v>900.0</v>
      </c>
      <c r="F71" s="20">
        <v>1.598</v>
      </c>
      <c r="G71" s="29" t="str">
        <f t="shared" si="2"/>
        <v>50000,64</v>
      </c>
      <c r="N71" s="20">
        <v>50000.0</v>
      </c>
      <c r="O71" s="20">
        <v>256.0</v>
      </c>
      <c r="P71" s="20">
        <v>64.0</v>
      </c>
      <c r="Q71" s="20">
        <v>2153.0</v>
      </c>
      <c r="R71" s="20">
        <v>1648.0</v>
      </c>
      <c r="S71" s="20">
        <v>1.306</v>
      </c>
      <c r="T71" s="20" t="s">
        <v>106</v>
      </c>
      <c r="U71" s="20"/>
      <c r="X71" s="20">
        <v>32128.0</v>
      </c>
      <c r="Y71" s="20">
        <v>256.0</v>
      </c>
      <c r="Z71" s="20">
        <v>64.0</v>
      </c>
      <c r="AA71" s="20">
        <v>1444.0</v>
      </c>
      <c r="AB71" s="20">
        <v>917.0</v>
      </c>
      <c r="AC71" s="20">
        <v>1.575</v>
      </c>
      <c r="AD71" s="20" t="str">
        <f t="shared" si="3"/>
        <v>32128,64</v>
      </c>
      <c r="AE71" s="20"/>
    </row>
    <row r="72">
      <c r="A72" s="20">
        <v>100000.0</v>
      </c>
      <c r="B72" s="20">
        <v>256.0</v>
      </c>
      <c r="C72" s="20">
        <v>64.0</v>
      </c>
      <c r="D72" s="20">
        <v>1596.0</v>
      </c>
      <c r="E72" s="20">
        <v>996.0</v>
      </c>
      <c r="F72" s="20">
        <v>1.602</v>
      </c>
      <c r="G72" s="29" t="str">
        <f t="shared" si="2"/>
        <v>100000,64</v>
      </c>
      <c r="N72" s="20">
        <v>100000.0</v>
      </c>
      <c r="O72" s="20">
        <v>256.0</v>
      </c>
      <c r="P72" s="20">
        <v>64.0</v>
      </c>
      <c r="Q72" s="20">
        <v>1934.0</v>
      </c>
      <c r="R72" s="20">
        <v>1434.0</v>
      </c>
      <c r="S72" s="20">
        <v>1.349</v>
      </c>
      <c r="T72" s="20" t="s">
        <v>106</v>
      </c>
      <c r="U72" s="20"/>
      <c r="X72" s="20">
        <v>50000.0</v>
      </c>
      <c r="Y72" s="20">
        <v>256.0</v>
      </c>
      <c r="Z72" s="20">
        <v>64.0</v>
      </c>
      <c r="AA72" s="20">
        <v>1592.0</v>
      </c>
      <c r="AB72" s="20">
        <v>919.0</v>
      </c>
      <c r="AC72" s="20">
        <v>1.732</v>
      </c>
      <c r="AD72" s="20" t="str">
        <f t="shared" si="3"/>
        <v>50000,64</v>
      </c>
      <c r="AE72" s="20"/>
    </row>
    <row r="73">
      <c r="A73" s="20">
        <v>300000.0</v>
      </c>
      <c r="B73" s="20">
        <v>256.0</v>
      </c>
      <c r="C73" s="20">
        <v>64.0</v>
      </c>
      <c r="D73" s="20">
        <v>1546.0</v>
      </c>
      <c r="E73" s="20">
        <v>888.0</v>
      </c>
      <c r="F73" s="20">
        <v>1.741</v>
      </c>
      <c r="G73" s="29" t="str">
        <f t="shared" si="2"/>
        <v>300000,64</v>
      </c>
      <c r="N73" s="20">
        <v>300000.0</v>
      </c>
      <c r="O73" s="20">
        <v>256.0</v>
      </c>
      <c r="P73" s="20">
        <v>64.0</v>
      </c>
      <c r="Q73" s="20">
        <v>1848.0</v>
      </c>
      <c r="R73" s="20">
        <v>1238.0</v>
      </c>
      <c r="S73" s="20">
        <v>1.493</v>
      </c>
      <c r="T73" s="20" t="s">
        <v>106</v>
      </c>
      <c r="U73" s="20"/>
      <c r="X73" s="20">
        <v>100000.0</v>
      </c>
      <c r="Y73" s="20">
        <v>256.0</v>
      </c>
      <c r="Z73" s="20">
        <v>64.0</v>
      </c>
      <c r="AA73" s="20">
        <v>1691.0</v>
      </c>
      <c r="AB73" s="20">
        <v>1040.0</v>
      </c>
      <c r="AC73" s="20">
        <v>1.626</v>
      </c>
      <c r="AD73" s="20" t="str">
        <f t="shared" si="3"/>
        <v>100000,64</v>
      </c>
      <c r="AE73" s="20"/>
    </row>
    <row r="74">
      <c r="A74" s="20">
        <v>500000.0</v>
      </c>
      <c r="B74" s="20">
        <v>256.0</v>
      </c>
      <c r="C74" s="20">
        <v>64.0</v>
      </c>
      <c r="D74" s="20">
        <v>1426.0</v>
      </c>
      <c r="E74" s="20">
        <v>886.0</v>
      </c>
      <c r="F74" s="20">
        <v>1.609</v>
      </c>
      <c r="G74" s="29" t="str">
        <f t="shared" si="2"/>
        <v>500000,64</v>
      </c>
      <c r="N74" s="20">
        <v>500000.0</v>
      </c>
      <c r="O74" s="20">
        <v>256.0</v>
      </c>
      <c r="P74" s="20">
        <v>64.0</v>
      </c>
      <c r="Q74" s="20">
        <v>2032.0</v>
      </c>
      <c r="R74" s="20">
        <v>1248.0</v>
      </c>
      <c r="S74" s="20">
        <v>1.628</v>
      </c>
      <c r="T74" s="20" t="s">
        <v>106</v>
      </c>
      <c r="U74" s="20"/>
      <c r="X74" s="20">
        <v>300000.0</v>
      </c>
      <c r="Y74" s="20">
        <v>256.0</v>
      </c>
      <c r="Z74" s="20">
        <v>64.0</v>
      </c>
      <c r="AA74" s="20">
        <v>1417.0</v>
      </c>
      <c r="AB74" s="20">
        <v>883.0</v>
      </c>
      <c r="AC74" s="20">
        <v>1.605</v>
      </c>
      <c r="AD74" s="20" t="str">
        <f t="shared" si="3"/>
        <v>300000,64</v>
      </c>
      <c r="AE74" s="20"/>
    </row>
    <row r="75">
      <c r="A75" s="20">
        <v>1000000.0</v>
      </c>
      <c r="B75" s="20">
        <v>256.0</v>
      </c>
      <c r="C75" s="20">
        <v>64.0</v>
      </c>
      <c r="D75" s="20">
        <v>1421.0</v>
      </c>
      <c r="E75" s="20">
        <v>919.0</v>
      </c>
      <c r="F75" s="20">
        <v>1.546</v>
      </c>
      <c r="G75" s="29" t="str">
        <f t="shared" si="2"/>
        <v>1000000,64</v>
      </c>
      <c r="N75" s="20">
        <v>1000000.0</v>
      </c>
      <c r="O75" s="20">
        <v>256.0</v>
      </c>
      <c r="P75" s="20">
        <v>64.0</v>
      </c>
      <c r="Q75" s="20">
        <v>2607.0</v>
      </c>
      <c r="R75" s="20">
        <v>1271.0</v>
      </c>
      <c r="S75" s="20">
        <v>2.051</v>
      </c>
      <c r="T75" s="20" t="s">
        <v>106</v>
      </c>
      <c r="U75" s="20"/>
      <c r="X75" s="20">
        <v>500000.0</v>
      </c>
      <c r="Y75" s="20">
        <v>256.0</v>
      </c>
      <c r="Z75" s="20">
        <v>64.0</v>
      </c>
      <c r="AA75" s="20">
        <v>1445.0</v>
      </c>
      <c r="AB75" s="20">
        <v>885.0</v>
      </c>
      <c r="AC75" s="20">
        <v>1.633</v>
      </c>
      <c r="AD75" s="20" t="str">
        <f t="shared" si="3"/>
        <v>500000,64</v>
      </c>
      <c r="AE75" s="20"/>
    </row>
    <row r="76">
      <c r="A76" s="20">
        <v>2000000.0</v>
      </c>
      <c r="B76" s="20">
        <v>256.0</v>
      </c>
      <c r="C76" s="20">
        <v>64.0</v>
      </c>
      <c r="D76" s="20">
        <v>1429.0</v>
      </c>
      <c r="E76" s="20">
        <v>996.0</v>
      </c>
      <c r="F76" s="20">
        <v>1.435</v>
      </c>
      <c r="G76" s="29" t="str">
        <f t="shared" si="2"/>
        <v>2000000,64</v>
      </c>
      <c r="N76" s="20">
        <v>2000000.0</v>
      </c>
      <c r="O76" s="20">
        <v>256.0</v>
      </c>
      <c r="P76" s="20">
        <v>64.0</v>
      </c>
      <c r="Q76" s="20">
        <v>1920.0</v>
      </c>
      <c r="R76" s="20">
        <v>1453.0</v>
      </c>
      <c r="S76" s="20">
        <v>1.321</v>
      </c>
      <c r="T76" s="20" t="s">
        <v>106</v>
      </c>
      <c r="U76" s="20"/>
      <c r="X76" s="20">
        <v>1000000.0</v>
      </c>
      <c r="Y76" s="20">
        <v>256.0</v>
      </c>
      <c r="Z76" s="20">
        <v>64.0</v>
      </c>
      <c r="AA76" s="20">
        <v>1444.0</v>
      </c>
      <c r="AB76" s="20">
        <v>948.0</v>
      </c>
      <c r="AC76" s="20">
        <v>1.523</v>
      </c>
      <c r="AD76" s="20" t="str">
        <f t="shared" si="3"/>
        <v>1000000,64</v>
      </c>
      <c r="AE76" s="20"/>
    </row>
    <row r="77">
      <c r="A77" s="20">
        <v>10000.0</v>
      </c>
      <c r="B77" s="20">
        <v>256.0</v>
      </c>
      <c r="C77" s="20">
        <v>128.0</v>
      </c>
      <c r="D77" s="20">
        <v>1446.0</v>
      </c>
      <c r="E77" s="20">
        <v>1114.0</v>
      </c>
      <c r="F77" s="20">
        <v>1.298</v>
      </c>
      <c r="G77" s="29" t="str">
        <f t="shared" si="2"/>
        <v>10000,128</v>
      </c>
      <c r="N77" s="20">
        <v>10000.0</v>
      </c>
      <c r="O77" s="20">
        <v>256.0</v>
      </c>
      <c r="P77" s="20">
        <v>128.0</v>
      </c>
      <c r="Q77" s="20">
        <v>1780.0</v>
      </c>
      <c r="R77" s="20">
        <v>1532.0</v>
      </c>
      <c r="S77" s="20">
        <v>1.162</v>
      </c>
      <c r="T77" s="20" t="s">
        <v>106</v>
      </c>
      <c r="U77" s="20"/>
      <c r="X77" s="20">
        <v>2000000.0</v>
      </c>
      <c r="Y77" s="20">
        <v>256.0</v>
      </c>
      <c r="Z77" s="20">
        <v>64.0</v>
      </c>
      <c r="AA77" s="20">
        <v>1428.0</v>
      </c>
      <c r="AB77" s="20">
        <v>944.0</v>
      </c>
      <c r="AC77" s="20">
        <v>1.513</v>
      </c>
      <c r="AD77" s="20" t="str">
        <f t="shared" si="3"/>
        <v>2000000,64</v>
      </c>
      <c r="AE77" s="20"/>
    </row>
    <row r="78">
      <c r="A78" s="20">
        <v>32128.0</v>
      </c>
      <c r="B78" s="20">
        <v>256.0</v>
      </c>
      <c r="C78" s="20">
        <v>128.0</v>
      </c>
      <c r="D78" s="20">
        <v>1362.0</v>
      </c>
      <c r="E78" s="20">
        <v>1040.0</v>
      </c>
      <c r="F78" s="20">
        <v>1.31</v>
      </c>
      <c r="G78" s="29" t="str">
        <f t="shared" si="2"/>
        <v>32128,128</v>
      </c>
      <c r="N78" s="20">
        <v>32128.0</v>
      </c>
      <c r="O78" s="20">
        <v>256.0</v>
      </c>
      <c r="P78" s="20">
        <v>128.0</v>
      </c>
      <c r="Q78" s="20">
        <v>2633.0</v>
      </c>
      <c r="R78" s="20">
        <v>2246.0</v>
      </c>
      <c r="S78" s="20">
        <v>1.172</v>
      </c>
      <c r="T78" s="20" t="s">
        <v>106</v>
      </c>
      <c r="U78" s="20"/>
      <c r="X78" s="20">
        <v>10000.0</v>
      </c>
      <c r="Y78" s="20">
        <v>256.0</v>
      </c>
      <c r="Z78" s="20">
        <v>128.0</v>
      </c>
      <c r="AA78" s="20">
        <v>1245.0</v>
      </c>
      <c r="AB78" s="20">
        <v>1066.0</v>
      </c>
      <c r="AC78" s="20">
        <v>1.168</v>
      </c>
      <c r="AD78" s="20" t="str">
        <f t="shared" si="3"/>
        <v>10000,128</v>
      </c>
      <c r="AE78" s="20"/>
    </row>
    <row r="79">
      <c r="A79" s="20">
        <v>50000.0</v>
      </c>
      <c r="B79" s="20">
        <v>256.0</v>
      </c>
      <c r="C79" s="20">
        <v>128.0</v>
      </c>
      <c r="D79" s="20">
        <v>1390.0</v>
      </c>
      <c r="E79" s="20">
        <v>1109.0</v>
      </c>
      <c r="F79" s="20">
        <v>1.253</v>
      </c>
      <c r="G79" s="29" t="str">
        <f t="shared" si="2"/>
        <v>50000,128</v>
      </c>
      <c r="N79" s="20">
        <v>50000.0</v>
      </c>
      <c r="O79" s="20">
        <v>256.0</v>
      </c>
      <c r="P79" s="20">
        <v>128.0</v>
      </c>
      <c r="Q79" s="20">
        <v>2941.0</v>
      </c>
      <c r="R79" s="20">
        <v>2083.0</v>
      </c>
      <c r="S79" s="20">
        <v>1.412</v>
      </c>
      <c r="T79" s="20" t="s">
        <v>106</v>
      </c>
      <c r="U79" s="20"/>
      <c r="X79" s="20">
        <v>32128.0</v>
      </c>
      <c r="Y79" s="20">
        <v>256.0</v>
      </c>
      <c r="Z79" s="20">
        <v>128.0</v>
      </c>
      <c r="AA79" s="20">
        <v>1558.0</v>
      </c>
      <c r="AB79" s="20">
        <v>1170.0</v>
      </c>
      <c r="AC79" s="20">
        <v>1.332</v>
      </c>
      <c r="AD79" s="20" t="str">
        <f t="shared" si="3"/>
        <v>32128,128</v>
      </c>
      <c r="AE79" s="20"/>
    </row>
    <row r="80">
      <c r="A80" s="20">
        <v>100000.0</v>
      </c>
      <c r="B80" s="20">
        <v>256.0</v>
      </c>
      <c r="C80" s="20">
        <v>128.0</v>
      </c>
      <c r="D80" s="20">
        <v>1631.0</v>
      </c>
      <c r="E80" s="20">
        <v>1115.0</v>
      </c>
      <c r="F80" s="20">
        <v>1.463</v>
      </c>
      <c r="G80" s="29" t="str">
        <f t="shared" si="2"/>
        <v>100000,128</v>
      </c>
      <c r="N80" s="20">
        <v>100000.0</v>
      </c>
      <c r="O80" s="20">
        <v>256.0</v>
      </c>
      <c r="P80" s="20">
        <v>128.0</v>
      </c>
      <c r="Q80" s="20">
        <v>1832.0</v>
      </c>
      <c r="R80" s="20">
        <v>1445.0</v>
      </c>
      <c r="S80" s="20">
        <v>1.268</v>
      </c>
      <c r="T80" s="20" t="s">
        <v>106</v>
      </c>
      <c r="U80" s="20"/>
      <c r="X80" s="20">
        <v>50000.0</v>
      </c>
      <c r="Y80" s="20">
        <v>256.0</v>
      </c>
      <c r="Z80" s="20">
        <v>128.0</v>
      </c>
      <c r="AA80" s="20">
        <v>1369.0</v>
      </c>
      <c r="AB80" s="20">
        <v>1055.0</v>
      </c>
      <c r="AC80" s="20">
        <v>1.298</v>
      </c>
      <c r="AD80" s="20" t="str">
        <f t="shared" si="3"/>
        <v>50000,128</v>
      </c>
      <c r="AE80" s="20"/>
    </row>
    <row r="81">
      <c r="A81" s="20">
        <v>300000.0</v>
      </c>
      <c r="B81" s="20">
        <v>256.0</v>
      </c>
      <c r="C81" s="20">
        <v>128.0</v>
      </c>
      <c r="D81" s="20">
        <v>1450.0</v>
      </c>
      <c r="E81" s="20">
        <v>1092.0</v>
      </c>
      <c r="F81" s="20">
        <v>1.328</v>
      </c>
      <c r="G81" s="29" t="str">
        <f t="shared" si="2"/>
        <v>300000,128</v>
      </c>
      <c r="N81" s="20">
        <v>300000.0</v>
      </c>
      <c r="O81" s="20">
        <v>256.0</v>
      </c>
      <c r="P81" s="20">
        <v>128.0</v>
      </c>
      <c r="Q81" s="20">
        <v>1779.0</v>
      </c>
      <c r="R81" s="20">
        <v>1581.0</v>
      </c>
      <c r="S81" s="20">
        <v>1.125</v>
      </c>
      <c r="T81" s="20" t="s">
        <v>106</v>
      </c>
      <c r="U81" s="20"/>
      <c r="X81" s="20">
        <v>100000.0</v>
      </c>
      <c r="Y81" s="20">
        <v>256.0</v>
      </c>
      <c r="Z81" s="20">
        <v>128.0</v>
      </c>
      <c r="AA81" s="20">
        <v>1551.0</v>
      </c>
      <c r="AB81" s="20">
        <v>1180.0</v>
      </c>
      <c r="AC81" s="20">
        <v>1.314</v>
      </c>
      <c r="AD81" s="20" t="str">
        <f t="shared" si="3"/>
        <v>100000,128</v>
      </c>
      <c r="AE81" s="20"/>
    </row>
    <row r="82">
      <c r="A82" s="20">
        <v>500000.0</v>
      </c>
      <c r="B82" s="20">
        <v>256.0</v>
      </c>
      <c r="C82" s="20">
        <v>128.0</v>
      </c>
      <c r="D82" s="20">
        <v>1453.0</v>
      </c>
      <c r="E82" s="20">
        <v>1089.0</v>
      </c>
      <c r="F82" s="20">
        <v>1.334</v>
      </c>
      <c r="G82" s="29" t="str">
        <f t="shared" si="2"/>
        <v>500000,128</v>
      </c>
      <c r="N82" s="20">
        <v>500000.0</v>
      </c>
      <c r="O82" s="20">
        <v>256.0</v>
      </c>
      <c r="P82" s="20">
        <v>128.0</v>
      </c>
      <c r="Q82" s="20">
        <v>1859.0</v>
      </c>
      <c r="R82" s="20">
        <v>1490.0</v>
      </c>
      <c r="S82" s="20">
        <v>1.248</v>
      </c>
      <c r="T82" s="20" t="s">
        <v>106</v>
      </c>
      <c r="U82" s="20"/>
      <c r="X82" s="20">
        <v>300000.0</v>
      </c>
      <c r="Y82" s="20">
        <v>256.0</v>
      </c>
      <c r="Z82" s="20">
        <v>128.0</v>
      </c>
      <c r="AA82" s="20">
        <v>1422.0</v>
      </c>
      <c r="AB82" s="20">
        <v>1069.0</v>
      </c>
      <c r="AC82" s="20">
        <v>1.33</v>
      </c>
      <c r="AD82" s="20" t="str">
        <f t="shared" si="3"/>
        <v>300000,128</v>
      </c>
      <c r="AE82" s="20"/>
    </row>
    <row r="83">
      <c r="A83" s="20">
        <v>1000000.0</v>
      </c>
      <c r="B83" s="20">
        <v>256.0</v>
      </c>
      <c r="C83" s="20">
        <v>128.0</v>
      </c>
      <c r="D83" s="20">
        <v>1416.0</v>
      </c>
      <c r="E83" s="20">
        <v>1120.0</v>
      </c>
      <c r="F83" s="20">
        <v>1.264</v>
      </c>
      <c r="G83" s="29" t="str">
        <f t="shared" si="2"/>
        <v>1000000,128</v>
      </c>
      <c r="N83" s="20">
        <v>1000000.0</v>
      </c>
      <c r="O83" s="20">
        <v>256.0</v>
      </c>
      <c r="P83" s="20">
        <v>128.0</v>
      </c>
      <c r="Q83" s="20">
        <v>1790.0</v>
      </c>
      <c r="R83" s="20">
        <v>1791.0</v>
      </c>
      <c r="S83" s="20">
        <v>0.999</v>
      </c>
      <c r="T83" s="20" t="s">
        <v>106</v>
      </c>
      <c r="U83" s="20"/>
      <c r="X83" s="20">
        <v>500000.0</v>
      </c>
      <c r="Y83" s="20">
        <v>256.0</v>
      </c>
      <c r="Z83" s="20">
        <v>128.0</v>
      </c>
      <c r="AA83" s="20">
        <v>1416.0</v>
      </c>
      <c r="AB83" s="20">
        <v>1098.0</v>
      </c>
      <c r="AC83" s="20">
        <v>1.29</v>
      </c>
      <c r="AD83" s="20" t="str">
        <f t="shared" si="3"/>
        <v>500000,128</v>
      </c>
      <c r="AE83" s="20"/>
    </row>
    <row r="84">
      <c r="A84" s="20">
        <v>2000000.0</v>
      </c>
      <c r="B84" s="20">
        <v>256.0</v>
      </c>
      <c r="C84" s="20">
        <v>128.0</v>
      </c>
      <c r="D84" s="20">
        <v>1462.0</v>
      </c>
      <c r="E84" s="20">
        <v>1171.0</v>
      </c>
      <c r="F84" s="20">
        <v>1.249</v>
      </c>
      <c r="G84" s="29" t="str">
        <f t="shared" si="2"/>
        <v>2000000,128</v>
      </c>
      <c r="N84" s="20">
        <v>2000000.0</v>
      </c>
      <c r="O84" s="20">
        <v>256.0</v>
      </c>
      <c r="P84" s="20">
        <v>128.0</v>
      </c>
      <c r="Q84" s="20">
        <v>1879.0</v>
      </c>
      <c r="R84" s="20">
        <v>1651.0</v>
      </c>
      <c r="S84" s="20">
        <v>1.138</v>
      </c>
      <c r="T84" s="20" t="s">
        <v>106</v>
      </c>
      <c r="U84" s="20"/>
      <c r="X84" s="20">
        <v>1000000.0</v>
      </c>
      <c r="Y84" s="20">
        <v>256.0</v>
      </c>
      <c r="Z84" s="20">
        <v>128.0</v>
      </c>
      <c r="AA84" s="20">
        <v>1478.0</v>
      </c>
      <c r="AB84" s="20">
        <v>1122.0</v>
      </c>
      <c r="AC84" s="20">
        <v>1.317</v>
      </c>
      <c r="AD84" s="20" t="str">
        <f t="shared" si="3"/>
        <v>1000000,128</v>
      </c>
      <c r="AE84" s="20"/>
    </row>
    <row r="85">
      <c r="A85" s="20" t="s">
        <v>98</v>
      </c>
      <c r="B85" s="20" t="s">
        <v>91</v>
      </c>
      <c r="C85" s="20" t="s">
        <v>99</v>
      </c>
      <c r="D85" s="20" t="s">
        <v>100</v>
      </c>
      <c r="E85" s="20" t="s">
        <v>101</v>
      </c>
      <c r="F85" s="20" t="s">
        <v>102</v>
      </c>
      <c r="G85" s="29" t="str">
        <f t="shared" si="2"/>
        <v>Emb,dim</v>
      </c>
      <c r="N85" s="20" t="s">
        <v>98</v>
      </c>
      <c r="O85" s="20" t="s">
        <v>91</v>
      </c>
      <c r="P85" s="20" t="s">
        <v>99</v>
      </c>
      <c r="Q85" s="20" t="s">
        <v>100</v>
      </c>
      <c r="R85" s="20" t="s">
        <v>101</v>
      </c>
      <c r="S85" s="20" t="s">
        <v>102</v>
      </c>
      <c r="T85" s="20"/>
      <c r="U85" s="20" t="s">
        <v>103</v>
      </c>
      <c r="X85" s="20">
        <v>2000000.0</v>
      </c>
      <c r="Y85" s="20">
        <v>256.0</v>
      </c>
      <c r="Z85" s="20">
        <v>128.0</v>
      </c>
      <c r="AA85" s="20">
        <v>1465.0</v>
      </c>
      <c r="AB85" s="20">
        <v>1148.0</v>
      </c>
      <c r="AC85" s="20">
        <v>1.276</v>
      </c>
      <c r="AD85" s="20" t="str">
        <f t="shared" si="3"/>
        <v>2000000,128</v>
      </c>
      <c r="AE85" s="20"/>
    </row>
    <row r="86">
      <c r="A86" s="20">
        <v>10000.0</v>
      </c>
      <c r="B86" s="20">
        <v>512.0</v>
      </c>
      <c r="C86" s="20">
        <v>8.0</v>
      </c>
      <c r="D86" s="20">
        <v>2589.0</v>
      </c>
      <c r="E86" s="20">
        <v>2755.0</v>
      </c>
      <c r="F86" s="20">
        <v>0.94</v>
      </c>
      <c r="G86" s="20" t="s">
        <v>106</v>
      </c>
      <c r="H86" s="20"/>
      <c r="N86" s="20">
        <v>10000.0</v>
      </c>
      <c r="O86" s="20">
        <v>512.0</v>
      </c>
      <c r="P86" s="20">
        <v>8.0</v>
      </c>
      <c r="Q86" s="20">
        <v>3664.0</v>
      </c>
      <c r="R86" s="20">
        <v>3221.0</v>
      </c>
      <c r="S86" s="20">
        <v>1.138</v>
      </c>
      <c r="T86" s="20" t="s">
        <v>106</v>
      </c>
      <c r="U86" s="20"/>
      <c r="X86" s="56"/>
      <c r="Y86" s="56"/>
      <c r="Z86" s="56"/>
      <c r="AA86" s="56"/>
      <c r="AB86" s="56"/>
      <c r="AC86" s="56"/>
      <c r="AD86" s="56"/>
      <c r="AE86" s="56"/>
    </row>
    <row r="87">
      <c r="A87" s="20">
        <v>32128.0</v>
      </c>
      <c r="B87" s="20">
        <v>512.0</v>
      </c>
      <c r="C87" s="20">
        <v>8.0</v>
      </c>
      <c r="D87" s="20">
        <v>3262.0</v>
      </c>
      <c r="E87" s="20">
        <v>3232.0</v>
      </c>
      <c r="F87" s="20">
        <v>1.009</v>
      </c>
      <c r="G87" s="20" t="s">
        <v>106</v>
      </c>
      <c r="H87" s="20"/>
      <c r="N87" s="20">
        <v>32128.0</v>
      </c>
      <c r="O87" s="20">
        <v>512.0</v>
      </c>
      <c r="P87" s="20">
        <v>8.0</v>
      </c>
      <c r="Q87" s="20">
        <v>4651.0</v>
      </c>
      <c r="R87" s="20">
        <v>4833.0</v>
      </c>
      <c r="S87" s="20">
        <v>0.962</v>
      </c>
      <c r="T87" s="20" t="s">
        <v>106</v>
      </c>
      <c r="U87" s="20"/>
      <c r="X87" s="20" t="s">
        <v>107</v>
      </c>
      <c r="Y87" s="20" t="s">
        <v>99</v>
      </c>
      <c r="Z87" s="20" t="s">
        <v>100</v>
      </c>
      <c r="AA87" s="20" t="s">
        <v>101</v>
      </c>
      <c r="AB87" s="20" t="s">
        <v>102</v>
      </c>
      <c r="AC87" s="20" t="s">
        <v>108</v>
      </c>
      <c r="AD87" s="20"/>
      <c r="AE87" s="20"/>
    </row>
    <row r="88">
      <c r="A88" s="20">
        <v>50000.0</v>
      </c>
      <c r="B88" s="20">
        <v>512.0</v>
      </c>
      <c r="C88" s="20">
        <v>8.0</v>
      </c>
      <c r="D88" s="20">
        <v>3273.0</v>
      </c>
      <c r="E88" s="20">
        <v>3316.0</v>
      </c>
      <c r="F88" s="20">
        <v>0.987</v>
      </c>
      <c r="G88" s="20" t="s">
        <v>106</v>
      </c>
      <c r="H88" s="20"/>
      <c r="N88" s="20">
        <v>50000.0</v>
      </c>
      <c r="O88" s="20">
        <v>512.0</v>
      </c>
      <c r="P88" s="20">
        <v>8.0</v>
      </c>
      <c r="Q88" s="20">
        <v>4240.0</v>
      </c>
      <c r="R88" s="20">
        <v>4027.0</v>
      </c>
      <c r="S88" s="20">
        <v>1.053</v>
      </c>
      <c r="T88" s="20" t="s">
        <v>106</v>
      </c>
      <c r="U88" s="20"/>
      <c r="X88" s="20">
        <v>10000.0</v>
      </c>
      <c r="Y88" s="20">
        <v>512.0</v>
      </c>
      <c r="Z88" s="20">
        <v>8.0</v>
      </c>
      <c r="AA88" s="20">
        <v>2566.0</v>
      </c>
      <c r="AB88" s="20">
        <v>2757.0</v>
      </c>
      <c r="AC88" s="20">
        <v>0.931</v>
      </c>
      <c r="AD88" s="20"/>
      <c r="AE88" s="20"/>
    </row>
    <row r="89">
      <c r="A89" s="20">
        <v>100000.0</v>
      </c>
      <c r="B89" s="20">
        <v>512.0</v>
      </c>
      <c r="C89" s="20">
        <v>8.0</v>
      </c>
      <c r="D89" s="20">
        <v>3122.0</v>
      </c>
      <c r="E89" s="20">
        <v>2810.0</v>
      </c>
      <c r="F89" s="20">
        <v>1.111</v>
      </c>
      <c r="G89" s="20" t="s">
        <v>106</v>
      </c>
      <c r="H89" s="20"/>
      <c r="N89" s="20">
        <v>100000.0</v>
      </c>
      <c r="O89" s="20">
        <v>512.0</v>
      </c>
      <c r="P89" s="20">
        <v>8.0</v>
      </c>
      <c r="Q89" s="20">
        <v>4172.0</v>
      </c>
      <c r="R89" s="20">
        <v>3333.0</v>
      </c>
      <c r="S89" s="20">
        <v>1.252</v>
      </c>
      <c r="T89" s="20" t="s">
        <v>106</v>
      </c>
      <c r="U89" s="20"/>
      <c r="X89" s="20">
        <v>32128.0</v>
      </c>
      <c r="Y89" s="20">
        <v>512.0</v>
      </c>
      <c r="Z89" s="20">
        <v>8.0</v>
      </c>
      <c r="AA89" s="20">
        <v>3208.0</v>
      </c>
      <c r="AB89" s="20">
        <v>3389.0</v>
      </c>
      <c r="AC89" s="20">
        <v>0.947</v>
      </c>
      <c r="AD89" s="20"/>
      <c r="AE89" s="20"/>
    </row>
    <row r="90">
      <c r="A90" s="20">
        <v>300000.0</v>
      </c>
      <c r="B90" s="20">
        <v>512.0</v>
      </c>
      <c r="C90" s="20">
        <v>8.0</v>
      </c>
      <c r="D90" s="20">
        <v>2760.0</v>
      </c>
      <c r="E90" s="20">
        <v>2823.0</v>
      </c>
      <c r="F90" s="20">
        <v>0.978</v>
      </c>
      <c r="G90" s="20" t="s">
        <v>106</v>
      </c>
      <c r="H90" s="20"/>
      <c r="N90" s="20">
        <v>300000.0</v>
      </c>
      <c r="O90" s="20">
        <v>512.0</v>
      </c>
      <c r="P90" s="20">
        <v>8.0</v>
      </c>
      <c r="Q90" s="20">
        <v>3879.0</v>
      </c>
      <c r="R90" s="20">
        <v>3394.0</v>
      </c>
      <c r="S90" s="20">
        <v>1.143</v>
      </c>
      <c r="T90" s="20" t="s">
        <v>106</v>
      </c>
      <c r="U90" s="20"/>
      <c r="X90" s="20">
        <v>50000.0</v>
      </c>
      <c r="Y90" s="20">
        <v>512.0</v>
      </c>
      <c r="Z90" s="20">
        <v>8.0</v>
      </c>
      <c r="AA90" s="20">
        <v>3247.0</v>
      </c>
      <c r="AB90" s="20">
        <v>3126.0</v>
      </c>
      <c r="AC90" s="20">
        <v>1.039</v>
      </c>
      <c r="AD90" s="20"/>
      <c r="AE90" s="20"/>
    </row>
    <row r="91">
      <c r="A91" s="20">
        <v>500000.0</v>
      </c>
      <c r="B91" s="20">
        <v>512.0</v>
      </c>
      <c r="C91" s="20">
        <v>8.0</v>
      </c>
      <c r="D91" s="20">
        <v>2751.0</v>
      </c>
      <c r="E91" s="20">
        <v>2864.0</v>
      </c>
      <c r="F91" s="20">
        <v>0.961</v>
      </c>
      <c r="G91" s="20" t="s">
        <v>106</v>
      </c>
      <c r="H91" s="20"/>
      <c r="N91" s="20">
        <v>500000.0</v>
      </c>
      <c r="O91" s="20">
        <v>512.0</v>
      </c>
      <c r="P91" s="20">
        <v>8.0</v>
      </c>
      <c r="Q91" s="20">
        <v>3882.0</v>
      </c>
      <c r="R91" s="20">
        <v>3419.0</v>
      </c>
      <c r="S91" s="20">
        <v>1.135</v>
      </c>
      <c r="T91" s="20" t="s">
        <v>106</v>
      </c>
      <c r="U91" s="20"/>
      <c r="X91" s="20">
        <v>100000.0</v>
      </c>
      <c r="Y91" s="20">
        <v>512.0</v>
      </c>
      <c r="Z91" s="20">
        <v>8.0</v>
      </c>
      <c r="AA91" s="20">
        <v>2824.0</v>
      </c>
      <c r="AB91" s="20">
        <v>2870.0</v>
      </c>
      <c r="AC91" s="20">
        <v>0.984</v>
      </c>
      <c r="AD91" s="20"/>
      <c r="AE91" s="20"/>
    </row>
    <row r="92">
      <c r="A92" s="20">
        <v>1000000.0</v>
      </c>
      <c r="B92" s="20">
        <v>512.0</v>
      </c>
      <c r="C92" s="20">
        <v>8.0</v>
      </c>
      <c r="D92" s="20">
        <v>2798.0</v>
      </c>
      <c r="E92" s="20">
        <v>2893.0</v>
      </c>
      <c r="F92" s="20">
        <v>0.967</v>
      </c>
      <c r="G92" s="20" t="s">
        <v>106</v>
      </c>
      <c r="H92" s="20"/>
      <c r="N92" s="20">
        <v>1000000.0</v>
      </c>
      <c r="O92" s="20">
        <v>512.0</v>
      </c>
      <c r="P92" s="20">
        <v>8.0</v>
      </c>
      <c r="Q92" s="20">
        <v>3749.0</v>
      </c>
      <c r="R92" s="20">
        <v>3581.0</v>
      </c>
      <c r="S92" s="20">
        <v>1.047</v>
      </c>
      <c r="T92" s="20" t="s">
        <v>106</v>
      </c>
      <c r="U92" s="20"/>
      <c r="X92" s="20">
        <v>300000.0</v>
      </c>
      <c r="Y92" s="20">
        <v>512.0</v>
      </c>
      <c r="Z92" s="20">
        <v>8.0</v>
      </c>
      <c r="AA92" s="20">
        <v>2768.0</v>
      </c>
      <c r="AB92" s="20">
        <v>2859.0</v>
      </c>
      <c r="AC92" s="20">
        <v>0.968</v>
      </c>
      <c r="AD92" s="20"/>
      <c r="AE92" s="20"/>
    </row>
    <row r="93">
      <c r="A93" s="20">
        <v>2000000.0</v>
      </c>
      <c r="B93" s="20">
        <v>512.0</v>
      </c>
      <c r="C93" s="20">
        <v>8.0</v>
      </c>
      <c r="D93" s="20">
        <v>2764.0</v>
      </c>
      <c r="E93" s="20">
        <v>2887.0</v>
      </c>
      <c r="F93" s="20">
        <v>0.957</v>
      </c>
      <c r="G93" s="20" t="s">
        <v>106</v>
      </c>
      <c r="H93" s="20"/>
      <c r="N93" s="20">
        <v>2000000.0</v>
      </c>
      <c r="O93" s="20">
        <v>512.0</v>
      </c>
      <c r="P93" s="20">
        <v>8.0</v>
      </c>
      <c r="Q93" s="20">
        <v>4075.0</v>
      </c>
      <c r="R93" s="20">
        <v>3497.0</v>
      </c>
      <c r="S93" s="20">
        <v>1.165</v>
      </c>
      <c r="T93" s="20" t="s">
        <v>106</v>
      </c>
      <c r="U93" s="20"/>
      <c r="X93" s="20">
        <v>500000.0</v>
      </c>
      <c r="Y93" s="20">
        <v>512.0</v>
      </c>
      <c r="Z93" s="20">
        <v>8.0</v>
      </c>
      <c r="AA93" s="20">
        <v>2755.0</v>
      </c>
      <c r="AB93" s="20">
        <v>2838.0</v>
      </c>
      <c r="AC93" s="20">
        <v>0.971</v>
      </c>
      <c r="AD93" s="20"/>
      <c r="AE93" s="20"/>
    </row>
    <row r="94">
      <c r="A94" s="20">
        <v>10000.0</v>
      </c>
      <c r="B94" s="20">
        <v>512.0</v>
      </c>
      <c r="C94" s="20">
        <v>16.0</v>
      </c>
      <c r="D94" s="20">
        <v>2545.0</v>
      </c>
      <c r="E94" s="20">
        <v>1786.0</v>
      </c>
      <c r="F94" s="20">
        <v>1.425</v>
      </c>
      <c r="G94" s="20" t="s">
        <v>106</v>
      </c>
      <c r="H94" s="20"/>
      <c r="N94" s="20">
        <v>10000.0</v>
      </c>
      <c r="O94" s="20">
        <v>512.0</v>
      </c>
      <c r="P94" s="20">
        <v>16.0</v>
      </c>
      <c r="Q94" s="20">
        <v>3974.0</v>
      </c>
      <c r="R94" s="20">
        <v>3399.0</v>
      </c>
      <c r="S94" s="20">
        <v>1.169</v>
      </c>
      <c r="T94" s="20" t="s">
        <v>106</v>
      </c>
      <c r="U94" s="20"/>
      <c r="X94" s="20">
        <v>1000000.0</v>
      </c>
      <c r="Y94" s="20">
        <v>512.0</v>
      </c>
      <c r="Z94" s="20">
        <v>8.0</v>
      </c>
      <c r="AA94" s="20">
        <v>2736.0</v>
      </c>
      <c r="AB94" s="20">
        <v>2891.0</v>
      </c>
      <c r="AC94" s="20">
        <v>0.946</v>
      </c>
      <c r="AD94" s="20"/>
      <c r="AE94" s="20"/>
    </row>
    <row r="95">
      <c r="A95" s="20">
        <v>32128.0</v>
      </c>
      <c r="B95" s="20">
        <v>512.0</v>
      </c>
      <c r="C95" s="20">
        <v>16.0</v>
      </c>
      <c r="D95" s="20">
        <v>2965.0</v>
      </c>
      <c r="E95" s="20">
        <v>2092.0</v>
      </c>
      <c r="F95" s="20">
        <v>1.417</v>
      </c>
      <c r="G95" s="20" t="s">
        <v>106</v>
      </c>
      <c r="H95" s="20"/>
      <c r="N95" s="20">
        <v>32128.0</v>
      </c>
      <c r="O95" s="20">
        <v>512.0</v>
      </c>
      <c r="P95" s="20">
        <v>16.0</v>
      </c>
      <c r="Q95" s="20">
        <v>5518.0</v>
      </c>
      <c r="R95" s="20">
        <v>3414.0</v>
      </c>
      <c r="S95" s="20">
        <v>1.616</v>
      </c>
      <c r="T95" s="20" t="s">
        <v>106</v>
      </c>
      <c r="U95" s="20"/>
      <c r="X95" s="20">
        <v>2000000.0</v>
      </c>
      <c r="Y95" s="20">
        <v>512.0</v>
      </c>
      <c r="Z95" s="20">
        <v>8.0</v>
      </c>
      <c r="AA95" s="20">
        <v>2745.0</v>
      </c>
      <c r="AB95" s="20">
        <v>2884.0</v>
      </c>
      <c r="AC95" s="20">
        <v>0.952</v>
      </c>
      <c r="AD95" s="20"/>
      <c r="AE95" s="20"/>
    </row>
    <row r="96">
      <c r="A96" s="20">
        <v>50000.0</v>
      </c>
      <c r="B96" s="20">
        <v>512.0</v>
      </c>
      <c r="C96" s="20">
        <v>16.0</v>
      </c>
      <c r="D96" s="20">
        <v>3189.0</v>
      </c>
      <c r="E96" s="20">
        <v>1861.0</v>
      </c>
      <c r="F96" s="20">
        <v>1.714</v>
      </c>
      <c r="G96" s="20" t="s">
        <v>106</v>
      </c>
      <c r="H96" s="20"/>
      <c r="N96" s="20">
        <v>50000.0</v>
      </c>
      <c r="O96" s="20">
        <v>512.0</v>
      </c>
      <c r="P96" s="20">
        <v>16.0</v>
      </c>
      <c r="Q96" s="20">
        <v>5069.0</v>
      </c>
      <c r="R96" s="20">
        <v>3255.0</v>
      </c>
      <c r="S96" s="20">
        <v>1.557</v>
      </c>
      <c r="T96" s="20" t="s">
        <v>106</v>
      </c>
      <c r="U96" s="20"/>
      <c r="X96" s="20">
        <v>10000.0</v>
      </c>
      <c r="Y96" s="20">
        <v>512.0</v>
      </c>
      <c r="Z96" s="20">
        <v>16.0</v>
      </c>
      <c r="AA96" s="20">
        <v>2564.0</v>
      </c>
      <c r="AB96" s="20">
        <v>1785.0</v>
      </c>
      <c r="AC96" s="20">
        <v>1.436</v>
      </c>
      <c r="AD96" s="20"/>
      <c r="AE96" s="20"/>
    </row>
    <row r="97">
      <c r="A97" s="20">
        <v>100000.0</v>
      </c>
      <c r="B97" s="20">
        <v>512.0</v>
      </c>
      <c r="C97" s="20">
        <v>16.0</v>
      </c>
      <c r="D97" s="20">
        <v>2741.0</v>
      </c>
      <c r="E97" s="20">
        <v>1850.0</v>
      </c>
      <c r="F97" s="20">
        <v>1.482</v>
      </c>
      <c r="G97" s="20" t="s">
        <v>106</v>
      </c>
      <c r="H97" s="20"/>
      <c r="N97" s="20">
        <v>100000.0</v>
      </c>
      <c r="O97" s="20">
        <v>512.0</v>
      </c>
      <c r="P97" s="20">
        <v>16.0</v>
      </c>
      <c r="Q97" s="20">
        <v>4156.0</v>
      </c>
      <c r="R97" s="20">
        <v>2285.0</v>
      </c>
      <c r="S97" s="20">
        <v>1.819</v>
      </c>
      <c r="T97" s="20" t="s">
        <v>106</v>
      </c>
      <c r="U97" s="20"/>
      <c r="X97" s="20">
        <v>32128.0</v>
      </c>
      <c r="Y97" s="20">
        <v>512.0</v>
      </c>
      <c r="Z97" s="20">
        <v>16.0</v>
      </c>
      <c r="AA97" s="20">
        <v>2898.0</v>
      </c>
      <c r="AB97" s="20">
        <v>2000.0</v>
      </c>
      <c r="AC97" s="20">
        <v>1.449</v>
      </c>
      <c r="AD97" s="20"/>
      <c r="AE97" s="20"/>
    </row>
    <row r="98">
      <c r="A98" s="20">
        <v>300000.0</v>
      </c>
      <c r="B98" s="20">
        <v>512.0</v>
      </c>
      <c r="C98" s="20">
        <v>16.0</v>
      </c>
      <c r="D98" s="20">
        <v>2785.0</v>
      </c>
      <c r="E98" s="20">
        <v>1860.0</v>
      </c>
      <c r="F98" s="20">
        <v>1.497</v>
      </c>
      <c r="G98" s="20" t="s">
        <v>106</v>
      </c>
      <c r="H98" s="20"/>
      <c r="N98" s="20">
        <v>300000.0</v>
      </c>
      <c r="O98" s="20">
        <v>512.0</v>
      </c>
      <c r="P98" s="20">
        <v>16.0</v>
      </c>
      <c r="Q98" s="20">
        <v>3765.0</v>
      </c>
      <c r="R98" s="20">
        <v>2579.0</v>
      </c>
      <c r="S98" s="20">
        <v>1.46</v>
      </c>
      <c r="T98" s="20" t="s">
        <v>106</v>
      </c>
      <c r="U98" s="20"/>
      <c r="X98" s="20">
        <v>50000.0</v>
      </c>
      <c r="Y98" s="20">
        <v>512.0</v>
      </c>
      <c r="Z98" s="20">
        <v>16.0</v>
      </c>
      <c r="AA98" s="20">
        <v>3212.0</v>
      </c>
      <c r="AB98" s="20">
        <v>1834.0</v>
      </c>
      <c r="AC98" s="20">
        <v>1.751</v>
      </c>
      <c r="AD98" s="20"/>
      <c r="AE98" s="20"/>
    </row>
    <row r="99">
      <c r="A99" s="20">
        <v>500000.0</v>
      </c>
      <c r="B99" s="20">
        <v>512.0</v>
      </c>
      <c r="C99" s="20">
        <v>16.0</v>
      </c>
      <c r="D99" s="20">
        <v>2793.0</v>
      </c>
      <c r="E99" s="20">
        <v>1878.0</v>
      </c>
      <c r="F99" s="20">
        <v>1.487</v>
      </c>
      <c r="G99" s="20" t="s">
        <v>106</v>
      </c>
      <c r="H99" s="20"/>
      <c r="N99" s="20">
        <v>500000.0</v>
      </c>
      <c r="O99" s="20">
        <v>512.0</v>
      </c>
      <c r="P99" s="20">
        <v>16.0</v>
      </c>
      <c r="Q99" s="20">
        <v>3993.0</v>
      </c>
      <c r="R99" s="20">
        <v>2342.0</v>
      </c>
      <c r="S99" s="20">
        <v>1.705</v>
      </c>
      <c r="T99" s="20" t="s">
        <v>106</v>
      </c>
      <c r="U99" s="20"/>
      <c r="X99" s="20">
        <v>100000.0</v>
      </c>
      <c r="Y99" s="20">
        <v>512.0</v>
      </c>
      <c r="Z99" s="20">
        <v>16.0</v>
      </c>
      <c r="AA99" s="20">
        <v>2739.0</v>
      </c>
      <c r="AB99" s="20">
        <v>1800.0</v>
      </c>
      <c r="AC99" s="20">
        <v>1.522</v>
      </c>
      <c r="AD99" s="20"/>
      <c r="AE99" s="20"/>
    </row>
    <row r="100">
      <c r="A100" s="20">
        <v>1000000.0</v>
      </c>
      <c r="B100" s="20">
        <v>512.0</v>
      </c>
      <c r="C100" s="20">
        <v>16.0</v>
      </c>
      <c r="D100" s="20">
        <v>2895.0</v>
      </c>
      <c r="E100" s="20">
        <v>1900.0</v>
      </c>
      <c r="F100" s="20">
        <v>1.524</v>
      </c>
      <c r="G100" s="20" t="s">
        <v>106</v>
      </c>
      <c r="H100" s="20"/>
      <c r="N100" s="20">
        <v>1000000.0</v>
      </c>
      <c r="O100" s="20">
        <v>512.0</v>
      </c>
      <c r="P100" s="20">
        <v>16.0</v>
      </c>
      <c r="Q100" s="20">
        <v>3803.0</v>
      </c>
      <c r="R100" s="20">
        <v>2371.0</v>
      </c>
      <c r="S100" s="20">
        <v>1.604</v>
      </c>
      <c r="T100" s="20" t="s">
        <v>106</v>
      </c>
      <c r="U100" s="20"/>
      <c r="X100" s="20">
        <v>300000.0</v>
      </c>
      <c r="Y100" s="20">
        <v>512.0</v>
      </c>
      <c r="Z100" s="20">
        <v>16.0</v>
      </c>
      <c r="AA100" s="20">
        <v>2930.0</v>
      </c>
      <c r="AB100" s="20">
        <v>1860.0</v>
      </c>
      <c r="AC100" s="20">
        <v>1.575</v>
      </c>
      <c r="AD100" s="20"/>
      <c r="AE100" s="20"/>
    </row>
    <row r="101">
      <c r="A101" s="20">
        <v>2000000.0</v>
      </c>
      <c r="B101" s="20">
        <v>512.0</v>
      </c>
      <c r="C101" s="20">
        <v>16.0</v>
      </c>
      <c r="D101" s="20">
        <v>2760.0</v>
      </c>
      <c r="E101" s="20">
        <v>1905.0</v>
      </c>
      <c r="F101" s="20">
        <v>1.449</v>
      </c>
      <c r="G101" s="20" t="s">
        <v>106</v>
      </c>
      <c r="H101" s="20"/>
      <c r="N101" s="20">
        <v>2000000.0</v>
      </c>
      <c r="O101" s="20">
        <v>512.0</v>
      </c>
      <c r="P101" s="20">
        <v>16.0</v>
      </c>
      <c r="Q101" s="20">
        <v>3989.0</v>
      </c>
      <c r="R101" s="20">
        <v>2404.0</v>
      </c>
      <c r="S101" s="20">
        <v>1.659</v>
      </c>
      <c r="T101" s="20" t="s">
        <v>106</v>
      </c>
      <c r="U101" s="20"/>
      <c r="X101" s="20">
        <v>500000.0</v>
      </c>
      <c r="Y101" s="20">
        <v>512.0</v>
      </c>
      <c r="Z101" s="20">
        <v>16.0</v>
      </c>
      <c r="AA101" s="20">
        <v>2916.0</v>
      </c>
      <c r="AB101" s="20">
        <v>1939.0</v>
      </c>
      <c r="AC101" s="20">
        <v>1.504</v>
      </c>
      <c r="AD101" s="20"/>
      <c r="AE101" s="20"/>
    </row>
    <row r="102">
      <c r="A102" s="20">
        <v>10000.0</v>
      </c>
      <c r="B102" s="20">
        <v>512.0</v>
      </c>
      <c r="C102" s="20">
        <v>32.0</v>
      </c>
      <c r="D102" s="20">
        <v>2614.0</v>
      </c>
      <c r="E102" s="20">
        <v>1437.0</v>
      </c>
      <c r="F102" s="20">
        <v>1.819</v>
      </c>
      <c r="G102" s="20" t="s">
        <v>106</v>
      </c>
      <c r="H102" s="20"/>
      <c r="N102" s="20">
        <v>10000.0</v>
      </c>
      <c r="O102" s="20">
        <v>512.0</v>
      </c>
      <c r="P102" s="20">
        <v>32.0</v>
      </c>
      <c r="Q102" s="20">
        <v>3433.0</v>
      </c>
      <c r="R102" s="20">
        <v>2548.0</v>
      </c>
      <c r="S102" s="20">
        <v>1.347</v>
      </c>
      <c r="T102" s="20" t="s">
        <v>106</v>
      </c>
      <c r="U102" s="20"/>
      <c r="X102" s="20">
        <v>1000000.0</v>
      </c>
      <c r="Y102" s="20">
        <v>512.0</v>
      </c>
      <c r="Z102" s="20">
        <v>16.0</v>
      </c>
      <c r="AA102" s="20">
        <v>2741.0</v>
      </c>
      <c r="AB102" s="20">
        <v>1872.0</v>
      </c>
      <c r="AC102" s="20">
        <v>1.464</v>
      </c>
      <c r="AD102" s="20"/>
      <c r="AE102" s="20"/>
    </row>
    <row r="103">
      <c r="A103" s="20">
        <v>32128.0</v>
      </c>
      <c r="B103" s="20">
        <v>512.0</v>
      </c>
      <c r="C103" s="20">
        <v>32.0</v>
      </c>
      <c r="D103" s="20">
        <v>3271.0</v>
      </c>
      <c r="E103" s="20">
        <v>1639.0</v>
      </c>
      <c r="F103" s="20">
        <v>1.996</v>
      </c>
      <c r="G103" s="20" t="s">
        <v>106</v>
      </c>
      <c r="H103" s="20"/>
      <c r="N103" s="20">
        <v>32128.0</v>
      </c>
      <c r="O103" s="20">
        <v>512.0</v>
      </c>
      <c r="P103" s="20">
        <v>32.0</v>
      </c>
      <c r="Q103" s="20">
        <v>4557.0</v>
      </c>
      <c r="R103" s="20">
        <v>4777.0</v>
      </c>
      <c r="S103" s="20">
        <v>0.954</v>
      </c>
      <c r="T103" s="20" t="s">
        <v>106</v>
      </c>
      <c r="U103" s="20"/>
      <c r="X103" s="20">
        <v>2000000.0</v>
      </c>
      <c r="Y103" s="20">
        <v>512.0</v>
      </c>
      <c r="Z103" s="20">
        <v>16.0</v>
      </c>
      <c r="AA103" s="20">
        <v>2790.0</v>
      </c>
      <c r="AB103" s="20">
        <v>1927.0</v>
      </c>
      <c r="AC103" s="20">
        <v>1.448</v>
      </c>
      <c r="AD103" s="20"/>
      <c r="AE103" s="20"/>
    </row>
    <row r="104">
      <c r="A104" s="20">
        <v>50000.0</v>
      </c>
      <c r="B104" s="20">
        <v>512.0</v>
      </c>
      <c r="C104" s="20">
        <v>32.0</v>
      </c>
      <c r="D104" s="20">
        <v>3194.0</v>
      </c>
      <c r="E104" s="20">
        <v>1757.0</v>
      </c>
      <c r="F104" s="20">
        <v>1.818</v>
      </c>
      <c r="G104" s="20" t="s">
        <v>106</v>
      </c>
      <c r="H104" s="20"/>
      <c r="N104" s="20">
        <v>50000.0</v>
      </c>
      <c r="O104" s="20">
        <v>512.0</v>
      </c>
      <c r="P104" s="20">
        <v>32.0</v>
      </c>
      <c r="Q104" s="20">
        <v>4046.0</v>
      </c>
      <c r="R104" s="20">
        <v>2313.0</v>
      </c>
      <c r="S104" s="20">
        <v>1.749</v>
      </c>
      <c r="T104" s="20" t="s">
        <v>106</v>
      </c>
      <c r="U104" s="20"/>
      <c r="X104" s="20">
        <v>10000.0</v>
      </c>
      <c r="Y104" s="20">
        <v>512.0</v>
      </c>
      <c r="Z104" s="20">
        <v>32.0</v>
      </c>
      <c r="AA104" s="20">
        <v>2562.0</v>
      </c>
      <c r="AB104" s="20">
        <v>1444.0</v>
      </c>
      <c r="AC104" s="20">
        <v>1.774</v>
      </c>
      <c r="AD104" s="20"/>
      <c r="AE104" s="20"/>
    </row>
    <row r="105">
      <c r="A105" s="20">
        <v>100000.0</v>
      </c>
      <c r="B105" s="20">
        <v>512.0</v>
      </c>
      <c r="C105" s="20">
        <v>32.0</v>
      </c>
      <c r="D105" s="20">
        <v>2792.0</v>
      </c>
      <c r="E105" s="20">
        <v>1455.0</v>
      </c>
      <c r="F105" s="20">
        <v>1.919</v>
      </c>
      <c r="G105" s="20" t="s">
        <v>106</v>
      </c>
      <c r="H105" s="20"/>
      <c r="N105" s="20">
        <v>100000.0</v>
      </c>
      <c r="O105" s="20">
        <v>512.0</v>
      </c>
      <c r="P105" s="20">
        <v>32.0</v>
      </c>
      <c r="Q105" s="20">
        <v>4114.0</v>
      </c>
      <c r="R105" s="20">
        <v>2240.0</v>
      </c>
      <c r="S105" s="20">
        <v>1.837</v>
      </c>
      <c r="T105" s="20" t="s">
        <v>106</v>
      </c>
      <c r="U105" s="20"/>
      <c r="X105" s="20">
        <v>32128.0</v>
      </c>
      <c r="Y105" s="20">
        <v>512.0</v>
      </c>
      <c r="Z105" s="20">
        <v>32.0</v>
      </c>
      <c r="AA105" s="20">
        <v>3468.0</v>
      </c>
      <c r="AB105" s="20">
        <v>1959.0</v>
      </c>
      <c r="AC105" s="20">
        <v>1.77</v>
      </c>
      <c r="AD105" s="20"/>
      <c r="AE105" s="20"/>
    </row>
    <row r="106">
      <c r="A106" s="20">
        <v>300000.0</v>
      </c>
      <c r="B106" s="20">
        <v>512.0</v>
      </c>
      <c r="C106" s="20">
        <v>32.0</v>
      </c>
      <c r="D106" s="20">
        <v>2756.0</v>
      </c>
      <c r="E106" s="20">
        <v>1486.0</v>
      </c>
      <c r="F106" s="20">
        <v>1.855</v>
      </c>
      <c r="G106" s="20" t="s">
        <v>106</v>
      </c>
      <c r="H106" s="20"/>
      <c r="N106" s="20">
        <v>300000.0</v>
      </c>
      <c r="O106" s="20">
        <v>512.0</v>
      </c>
      <c r="P106" s="20">
        <v>32.0</v>
      </c>
      <c r="Q106" s="20">
        <v>3930.0</v>
      </c>
      <c r="R106" s="20">
        <v>2267.0</v>
      </c>
      <c r="S106" s="20">
        <v>1.734</v>
      </c>
      <c r="T106" s="20" t="s">
        <v>106</v>
      </c>
      <c r="U106" s="20"/>
      <c r="X106" s="20">
        <v>50000.0</v>
      </c>
      <c r="Y106" s="20">
        <v>512.0</v>
      </c>
      <c r="Z106" s="20">
        <v>32.0</v>
      </c>
      <c r="AA106" s="20">
        <v>2934.0</v>
      </c>
      <c r="AB106" s="20">
        <v>1627.0</v>
      </c>
      <c r="AC106" s="20">
        <v>1.803</v>
      </c>
      <c r="AD106" s="20"/>
      <c r="AE106" s="20"/>
    </row>
    <row r="107">
      <c r="A107" s="20">
        <v>500000.0</v>
      </c>
      <c r="B107" s="20">
        <v>512.0</v>
      </c>
      <c r="C107" s="20">
        <v>32.0</v>
      </c>
      <c r="D107" s="20">
        <v>3033.0</v>
      </c>
      <c r="E107" s="20">
        <v>1525.0</v>
      </c>
      <c r="F107" s="20">
        <v>1.989</v>
      </c>
      <c r="G107" s="20" t="s">
        <v>106</v>
      </c>
      <c r="H107" s="20"/>
      <c r="N107" s="20">
        <v>500000.0</v>
      </c>
      <c r="O107" s="20">
        <v>512.0</v>
      </c>
      <c r="P107" s="20">
        <v>32.0</v>
      </c>
      <c r="Q107" s="20">
        <v>3844.0</v>
      </c>
      <c r="R107" s="20">
        <v>2243.0</v>
      </c>
      <c r="S107" s="20">
        <v>1.714</v>
      </c>
      <c r="T107" s="20" t="s">
        <v>106</v>
      </c>
      <c r="U107" s="20"/>
      <c r="X107" s="20">
        <v>100000.0</v>
      </c>
      <c r="Y107" s="20">
        <v>512.0</v>
      </c>
      <c r="Z107" s="20">
        <v>32.0</v>
      </c>
      <c r="AA107" s="20">
        <v>2804.0</v>
      </c>
      <c r="AB107" s="20">
        <v>1448.0</v>
      </c>
      <c r="AC107" s="20">
        <v>1.936</v>
      </c>
      <c r="AD107" s="20"/>
      <c r="AE107" s="20"/>
    </row>
    <row r="108">
      <c r="A108" s="20">
        <v>1000000.0</v>
      </c>
      <c r="B108" s="20">
        <v>512.0</v>
      </c>
      <c r="C108" s="20">
        <v>32.0</v>
      </c>
      <c r="D108" s="20">
        <v>2761.0</v>
      </c>
      <c r="E108" s="20">
        <v>1532.0</v>
      </c>
      <c r="F108" s="20">
        <v>1.802</v>
      </c>
      <c r="G108" s="20" t="s">
        <v>106</v>
      </c>
      <c r="H108" s="20"/>
      <c r="N108" s="20">
        <v>1000000.0</v>
      </c>
      <c r="O108" s="20">
        <v>512.0</v>
      </c>
      <c r="P108" s="20">
        <v>32.0</v>
      </c>
      <c r="Q108" s="20">
        <v>3706.0</v>
      </c>
      <c r="R108" s="20">
        <v>2301.0</v>
      </c>
      <c r="S108" s="20">
        <v>1.611</v>
      </c>
      <c r="T108" s="20" t="s">
        <v>106</v>
      </c>
      <c r="U108" s="20"/>
      <c r="X108" s="20">
        <v>300000.0</v>
      </c>
      <c r="Y108" s="20">
        <v>512.0</v>
      </c>
      <c r="Z108" s="20">
        <v>32.0</v>
      </c>
      <c r="AA108" s="20">
        <v>2829.0</v>
      </c>
      <c r="AB108" s="20">
        <v>1514.0</v>
      </c>
      <c r="AC108" s="20">
        <v>1.869</v>
      </c>
      <c r="AD108" s="20"/>
      <c r="AE108" s="20"/>
    </row>
    <row r="109">
      <c r="A109" s="20">
        <v>2000000.0</v>
      </c>
      <c r="B109" s="20">
        <v>512.0</v>
      </c>
      <c r="C109" s="20">
        <v>32.0</v>
      </c>
      <c r="D109" s="20">
        <v>2776.0</v>
      </c>
      <c r="E109" s="20">
        <v>1591.0</v>
      </c>
      <c r="F109" s="20">
        <v>1.745</v>
      </c>
      <c r="G109" s="20" t="s">
        <v>106</v>
      </c>
      <c r="H109" s="20"/>
      <c r="N109" s="20">
        <v>2000000.0</v>
      </c>
      <c r="O109" s="20">
        <v>512.0</v>
      </c>
      <c r="P109" s="20">
        <v>32.0</v>
      </c>
      <c r="Q109" s="20">
        <v>3763.0</v>
      </c>
      <c r="R109" s="20">
        <v>2485.0</v>
      </c>
      <c r="S109" s="20">
        <v>1.514</v>
      </c>
      <c r="T109" s="20" t="s">
        <v>106</v>
      </c>
      <c r="U109" s="20"/>
      <c r="X109" s="20">
        <v>500000.0</v>
      </c>
      <c r="Y109" s="20">
        <v>512.0</v>
      </c>
      <c r="Z109" s="20">
        <v>32.0</v>
      </c>
      <c r="AA109" s="20">
        <v>2816.0</v>
      </c>
      <c r="AB109" s="20">
        <v>1611.0</v>
      </c>
      <c r="AC109" s="20">
        <v>1.748</v>
      </c>
      <c r="AD109" s="20"/>
      <c r="AE109" s="20"/>
    </row>
    <row r="110">
      <c r="A110" s="20">
        <v>10000.0</v>
      </c>
      <c r="B110" s="20">
        <v>512.0</v>
      </c>
      <c r="C110" s="20">
        <v>64.0</v>
      </c>
      <c r="D110" s="20">
        <v>2557.0</v>
      </c>
      <c r="E110" s="20">
        <v>1511.0</v>
      </c>
      <c r="F110" s="20">
        <v>1.692</v>
      </c>
      <c r="G110" s="20" t="s">
        <v>106</v>
      </c>
      <c r="H110" s="20"/>
      <c r="N110" s="20">
        <v>10000.0</v>
      </c>
      <c r="O110" s="20">
        <v>512.0</v>
      </c>
      <c r="P110" s="20">
        <v>64.0</v>
      </c>
      <c r="Q110" s="20">
        <v>4448.0</v>
      </c>
      <c r="R110" s="20">
        <v>3039.0</v>
      </c>
      <c r="S110" s="20">
        <v>1.464</v>
      </c>
      <c r="T110" s="20" t="s">
        <v>106</v>
      </c>
      <c r="U110" s="20"/>
      <c r="X110" s="20">
        <v>1000000.0</v>
      </c>
      <c r="Y110" s="20">
        <v>512.0</v>
      </c>
      <c r="Z110" s="20">
        <v>32.0</v>
      </c>
      <c r="AA110" s="20">
        <v>2784.0</v>
      </c>
      <c r="AB110" s="20">
        <v>1580.0</v>
      </c>
      <c r="AC110" s="20">
        <v>1.762</v>
      </c>
      <c r="AD110" s="20"/>
      <c r="AE110" s="20"/>
    </row>
    <row r="111">
      <c r="A111" s="20">
        <v>32128.0</v>
      </c>
      <c r="B111" s="20">
        <v>512.0</v>
      </c>
      <c r="C111" s="20">
        <v>64.0</v>
      </c>
      <c r="D111" s="20">
        <v>2789.0</v>
      </c>
      <c r="E111" s="20">
        <v>1627.0</v>
      </c>
      <c r="F111" s="20">
        <v>1.714</v>
      </c>
      <c r="G111" s="20" t="s">
        <v>106</v>
      </c>
      <c r="H111" s="20"/>
      <c r="N111" s="20">
        <v>32128.0</v>
      </c>
      <c r="O111" s="20">
        <v>512.0</v>
      </c>
      <c r="P111" s="20">
        <v>64.0</v>
      </c>
      <c r="Q111" s="20">
        <v>5174.0</v>
      </c>
      <c r="R111" s="20">
        <v>3302.0</v>
      </c>
      <c r="S111" s="20">
        <v>1.567</v>
      </c>
      <c r="T111" s="20" t="s">
        <v>106</v>
      </c>
      <c r="U111" s="20"/>
      <c r="X111" s="20">
        <v>2000000.0</v>
      </c>
      <c r="Y111" s="20">
        <v>512.0</v>
      </c>
      <c r="Z111" s="20">
        <v>32.0</v>
      </c>
      <c r="AA111" s="20">
        <v>2770.0</v>
      </c>
      <c r="AB111" s="20">
        <v>1568.0</v>
      </c>
      <c r="AC111" s="20">
        <v>1.767</v>
      </c>
      <c r="AD111" s="20"/>
      <c r="AE111" s="20"/>
    </row>
    <row r="112">
      <c r="A112" s="20">
        <v>50000.0</v>
      </c>
      <c r="B112" s="20">
        <v>512.0</v>
      </c>
      <c r="C112" s="20">
        <v>64.0</v>
      </c>
      <c r="D112" s="20">
        <v>3157.0</v>
      </c>
      <c r="E112" s="20">
        <v>1604.0</v>
      </c>
      <c r="F112" s="20">
        <v>1.968</v>
      </c>
      <c r="G112" s="20" t="s">
        <v>106</v>
      </c>
      <c r="H112" s="20"/>
      <c r="N112" s="20">
        <v>50000.0</v>
      </c>
      <c r="O112" s="20">
        <v>512.0</v>
      </c>
      <c r="P112" s="20">
        <v>64.0</v>
      </c>
      <c r="Q112" s="20">
        <v>3813.0</v>
      </c>
      <c r="R112" s="20">
        <v>2277.0</v>
      </c>
      <c r="S112" s="20">
        <v>1.675</v>
      </c>
      <c r="T112" s="20" t="s">
        <v>106</v>
      </c>
      <c r="U112" s="20"/>
      <c r="X112" s="20">
        <v>10000.0</v>
      </c>
      <c r="Y112" s="20">
        <v>512.0</v>
      </c>
      <c r="Z112" s="20">
        <v>64.0</v>
      </c>
      <c r="AA112" s="20">
        <v>2593.0</v>
      </c>
      <c r="AB112" s="20">
        <v>1518.0</v>
      </c>
      <c r="AC112" s="20">
        <v>1.708</v>
      </c>
      <c r="AD112" s="20"/>
      <c r="AE112" s="20"/>
    </row>
    <row r="113">
      <c r="A113" s="20">
        <v>100000.0</v>
      </c>
      <c r="B113" s="20">
        <v>512.0</v>
      </c>
      <c r="C113" s="20">
        <v>64.0</v>
      </c>
      <c r="D113" s="20">
        <v>2741.0</v>
      </c>
      <c r="E113" s="20">
        <v>1566.0</v>
      </c>
      <c r="F113" s="20">
        <v>1.75</v>
      </c>
      <c r="G113" s="20" t="s">
        <v>106</v>
      </c>
      <c r="H113" s="20"/>
      <c r="N113" s="20">
        <v>100000.0</v>
      </c>
      <c r="O113" s="20">
        <v>512.0</v>
      </c>
      <c r="P113" s="20">
        <v>64.0</v>
      </c>
      <c r="Q113" s="20">
        <v>3849.0</v>
      </c>
      <c r="R113" s="20">
        <v>2430.0</v>
      </c>
      <c r="S113" s="20">
        <v>1.584</v>
      </c>
      <c r="T113" s="20" t="s">
        <v>106</v>
      </c>
      <c r="U113" s="20"/>
      <c r="X113" s="20">
        <v>32128.0</v>
      </c>
      <c r="Y113" s="20">
        <v>512.0</v>
      </c>
      <c r="Z113" s="20">
        <v>64.0</v>
      </c>
      <c r="AA113" s="20">
        <v>3169.0</v>
      </c>
      <c r="AB113" s="20">
        <v>1727.0</v>
      </c>
      <c r="AC113" s="20">
        <v>1.835</v>
      </c>
      <c r="AD113" s="20"/>
      <c r="AE113" s="20"/>
    </row>
    <row r="114">
      <c r="A114" s="20">
        <v>300000.0</v>
      </c>
      <c r="B114" s="20">
        <v>512.0</v>
      </c>
      <c r="C114" s="20">
        <v>64.0</v>
      </c>
      <c r="D114" s="20">
        <v>2922.0</v>
      </c>
      <c r="E114" s="20">
        <v>1642.0</v>
      </c>
      <c r="F114" s="20">
        <v>1.78</v>
      </c>
      <c r="G114" s="20" t="s">
        <v>106</v>
      </c>
      <c r="H114" s="20"/>
      <c r="N114" s="20">
        <v>300000.0</v>
      </c>
      <c r="O114" s="20">
        <v>512.0</v>
      </c>
      <c r="P114" s="20">
        <v>64.0</v>
      </c>
      <c r="Q114" s="20">
        <v>4466.0</v>
      </c>
      <c r="R114" s="20">
        <v>2716.0</v>
      </c>
      <c r="S114" s="20">
        <v>1.644</v>
      </c>
      <c r="T114" s="20" t="s">
        <v>106</v>
      </c>
      <c r="U114" s="20"/>
      <c r="X114" s="20">
        <v>50000.0</v>
      </c>
      <c r="Y114" s="20">
        <v>512.0</v>
      </c>
      <c r="Z114" s="20">
        <v>64.0</v>
      </c>
      <c r="AA114" s="20">
        <v>3248.0</v>
      </c>
      <c r="AB114" s="20">
        <v>1665.0</v>
      </c>
      <c r="AC114" s="20">
        <v>1.951</v>
      </c>
      <c r="AD114" s="20"/>
      <c r="AE114" s="20"/>
    </row>
    <row r="115">
      <c r="A115" s="20">
        <v>500000.0</v>
      </c>
      <c r="B115" s="20">
        <v>512.0</v>
      </c>
      <c r="C115" s="20">
        <v>64.0</v>
      </c>
      <c r="D115" s="20">
        <v>2898.0</v>
      </c>
      <c r="E115" s="20">
        <v>1594.0</v>
      </c>
      <c r="F115" s="20">
        <v>1.818</v>
      </c>
      <c r="G115" s="20" t="s">
        <v>106</v>
      </c>
      <c r="H115" s="20"/>
      <c r="N115" s="20">
        <v>500000.0</v>
      </c>
      <c r="O115" s="20">
        <v>512.0</v>
      </c>
      <c r="P115" s="20">
        <v>64.0</v>
      </c>
      <c r="Q115" s="20">
        <v>3694.0</v>
      </c>
      <c r="R115" s="20">
        <v>2405.0</v>
      </c>
      <c r="S115" s="20">
        <v>1.536</v>
      </c>
      <c r="T115" s="20" t="s">
        <v>106</v>
      </c>
      <c r="U115" s="20"/>
      <c r="X115" s="20">
        <v>100000.0</v>
      </c>
      <c r="Y115" s="20">
        <v>512.0</v>
      </c>
      <c r="Z115" s="20">
        <v>64.0</v>
      </c>
      <c r="AA115" s="20">
        <v>2785.0</v>
      </c>
      <c r="AB115" s="20">
        <v>1558.0</v>
      </c>
      <c r="AC115" s="20">
        <v>1.788</v>
      </c>
      <c r="AD115" s="20"/>
      <c r="AE115" s="20"/>
    </row>
    <row r="116">
      <c r="A116" s="20">
        <v>1000000.0</v>
      </c>
      <c r="B116" s="20">
        <v>512.0</v>
      </c>
      <c r="C116" s="20">
        <v>64.0</v>
      </c>
      <c r="D116" s="20">
        <v>2735.0</v>
      </c>
      <c r="E116" s="20">
        <v>1620.0</v>
      </c>
      <c r="F116" s="20">
        <v>1.688</v>
      </c>
      <c r="G116" s="20" t="s">
        <v>106</v>
      </c>
      <c r="H116" s="20"/>
      <c r="N116" s="20">
        <v>1000000.0</v>
      </c>
      <c r="O116" s="20">
        <v>512.0</v>
      </c>
      <c r="P116" s="20">
        <v>64.0</v>
      </c>
      <c r="Q116" s="20">
        <v>4096.0</v>
      </c>
      <c r="R116" s="20">
        <v>2403.0</v>
      </c>
      <c r="S116" s="20">
        <v>1.705</v>
      </c>
      <c r="T116" s="20" t="s">
        <v>106</v>
      </c>
      <c r="U116" s="20"/>
      <c r="X116" s="20">
        <v>300000.0</v>
      </c>
      <c r="Y116" s="20">
        <v>512.0</v>
      </c>
      <c r="Z116" s="20">
        <v>64.0</v>
      </c>
      <c r="AA116" s="20">
        <v>2763.0</v>
      </c>
      <c r="AB116" s="20">
        <v>1616.0</v>
      </c>
      <c r="AC116" s="20">
        <v>1.71</v>
      </c>
      <c r="AD116" s="20"/>
      <c r="AE116" s="20"/>
    </row>
    <row r="117">
      <c r="A117" s="20">
        <v>2000000.0</v>
      </c>
      <c r="B117" s="20">
        <v>512.0</v>
      </c>
      <c r="C117" s="20">
        <v>64.0</v>
      </c>
      <c r="D117" s="20">
        <v>2750.0</v>
      </c>
      <c r="E117" s="20">
        <v>1634.0</v>
      </c>
      <c r="F117" s="20">
        <v>1.683</v>
      </c>
      <c r="G117" s="20" t="s">
        <v>106</v>
      </c>
      <c r="H117" s="20"/>
      <c r="N117" s="20">
        <v>2000000.0</v>
      </c>
      <c r="O117" s="20">
        <v>512.0</v>
      </c>
      <c r="P117" s="20">
        <v>64.0</v>
      </c>
      <c r="Q117" s="20">
        <v>4117.0</v>
      </c>
      <c r="R117" s="20">
        <v>2567.0</v>
      </c>
      <c r="S117" s="20">
        <v>1.604</v>
      </c>
      <c r="T117" s="20" t="s">
        <v>106</v>
      </c>
      <c r="U117" s="20"/>
      <c r="X117" s="20">
        <v>500000.0</v>
      </c>
      <c r="Y117" s="20">
        <v>512.0</v>
      </c>
      <c r="Z117" s="20">
        <v>64.0</v>
      </c>
      <c r="AA117" s="20">
        <v>2769.0</v>
      </c>
      <c r="AB117" s="20">
        <v>1586.0</v>
      </c>
      <c r="AC117" s="20">
        <v>1.746</v>
      </c>
      <c r="AD117" s="20"/>
      <c r="AE117" s="20"/>
    </row>
    <row r="118">
      <c r="A118" s="20">
        <v>10000.0</v>
      </c>
      <c r="B118" s="20">
        <v>512.0</v>
      </c>
      <c r="C118" s="20">
        <v>128.0</v>
      </c>
      <c r="D118" s="20">
        <v>2670.0</v>
      </c>
      <c r="E118" s="20">
        <v>2853.0</v>
      </c>
      <c r="F118" s="20">
        <v>0.936</v>
      </c>
      <c r="G118" s="20" t="s">
        <v>106</v>
      </c>
      <c r="H118" s="20"/>
      <c r="N118" s="20">
        <v>10000.0</v>
      </c>
      <c r="O118" s="20">
        <v>512.0</v>
      </c>
      <c r="P118" s="20">
        <v>128.0</v>
      </c>
      <c r="Q118" s="20">
        <v>4244.0</v>
      </c>
      <c r="R118" s="20">
        <v>3297.0</v>
      </c>
      <c r="S118" s="20">
        <v>1.287</v>
      </c>
      <c r="T118" s="20" t="s">
        <v>106</v>
      </c>
      <c r="U118" s="20"/>
      <c r="X118" s="20">
        <v>1000000.0</v>
      </c>
      <c r="Y118" s="20">
        <v>512.0</v>
      </c>
      <c r="Z118" s="20">
        <v>64.0</v>
      </c>
      <c r="AA118" s="20">
        <v>2802.0</v>
      </c>
      <c r="AB118" s="20">
        <v>1645.0</v>
      </c>
      <c r="AC118" s="20">
        <v>1.703</v>
      </c>
      <c r="AD118" s="20"/>
      <c r="AE118" s="20"/>
    </row>
    <row r="119">
      <c r="A119" s="20">
        <v>32128.0</v>
      </c>
      <c r="B119" s="20">
        <v>512.0</v>
      </c>
      <c r="C119" s="20">
        <v>128.0</v>
      </c>
      <c r="D119" s="20">
        <v>3255.0</v>
      </c>
      <c r="E119" s="20">
        <v>1913.0</v>
      </c>
      <c r="F119" s="20">
        <v>1.702</v>
      </c>
      <c r="G119" s="20" t="s">
        <v>106</v>
      </c>
      <c r="H119" s="20"/>
      <c r="N119" s="20">
        <v>32128.0</v>
      </c>
      <c r="O119" s="20">
        <v>512.0</v>
      </c>
      <c r="P119" s="20">
        <v>128.0</v>
      </c>
      <c r="Q119" s="20">
        <v>4515.0</v>
      </c>
      <c r="R119" s="20">
        <v>3016.0</v>
      </c>
      <c r="S119" s="20">
        <v>1.497</v>
      </c>
      <c r="T119" s="20" t="s">
        <v>106</v>
      </c>
      <c r="U119" s="20"/>
      <c r="X119" s="20">
        <v>2000000.0</v>
      </c>
      <c r="Y119" s="20">
        <v>512.0</v>
      </c>
      <c r="Z119" s="20">
        <v>64.0</v>
      </c>
      <c r="AA119" s="20">
        <v>2748.0</v>
      </c>
      <c r="AB119" s="20">
        <v>1624.0</v>
      </c>
      <c r="AC119" s="20">
        <v>1.692</v>
      </c>
      <c r="AD119" s="20"/>
      <c r="AE119" s="20"/>
    </row>
    <row r="120">
      <c r="A120" s="20">
        <v>50000.0</v>
      </c>
      <c r="B120" s="20">
        <v>512.0</v>
      </c>
      <c r="C120" s="20">
        <v>128.0</v>
      </c>
      <c r="D120" s="20">
        <v>2981.0</v>
      </c>
      <c r="E120" s="20">
        <v>1882.0</v>
      </c>
      <c r="F120" s="20">
        <v>1.584</v>
      </c>
      <c r="G120" s="20" t="s">
        <v>106</v>
      </c>
      <c r="H120" s="20"/>
      <c r="N120" s="20">
        <v>50000.0</v>
      </c>
      <c r="O120" s="20">
        <v>512.0</v>
      </c>
      <c r="P120" s="20">
        <v>128.0</v>
      </c>
      <c r="Q120" s="20">
        <v>3971.0</v>
      </c>
      <c r="R120" s="20">
        <v>2514.0</v>
      </c>
      <c r="S120" s="20">
        <v>1.58</v>
      </c>
      <c r="T120" s="20" t="s">
        <v>106</v>
      </c>
      <c r="U120" s="20"/>
      <c r="X120" s="20">
        <v>10000.0</v>
      </c>
      <c r="Y120" s="20">
        <v>512.0</v>
      </c>
      <c r="Z120" s="20">
        <v>128.0</v>
      </c>
      <c r="AA120" s="20">
        <v>2607.0</v>
      </c>
      <c r="AB120" s="20">
        <v>1692.0</v>
      </c>
      <c r="AC120" s="20">
        <v>1.541</v>
      </c>
      <c r="AD120" s="20"/>
      <c r="AE120" s="20"/>
    </row>
    <row r="121">
      <c r="A121" s="20">
        <v>100000.0</v>
      </c>
      <c r="B121" s="20">
        <v>512.0</v>
      </c>
      <c r="C121" s="20">
        <v>128.0</v>
      </c>
      <c r="D121" s="20">
        <v>2744.0</v>
      </c>
      <c r="E121" s="20">
        <v>1727.0</v>
      </c>
      <c r="F121" s="20">
        <v>1.589</v>
      </c>
      <c r="G121" s="20" t="s">
        <v>106</v>
      </c>
      <c r="H121" s="20"/>
      <c r="N121" s="20">
        <v>100000.0</v>
      </c>
      <c r="O121" s="20">
        <v>512.0</v>
      </c>
      <c r="P121" s="20">
        <v>128.0</v>
      </c>
      <c r="Q121" s="20">
        <v>3795.0</v>
      </c>
      <c r="R121" s="20">
        <v>2466.0</v>
      </c>
      <c r="S121" s="20">
        <v>1.539</v>
      </c>
      <c r="T121" s="20" t="s">
        <v>106</v>
      </c>
      <c r="U121" s="20"/>
      <c r="X121" s="20">
        <v>32128.0</v>
      </c>
      <c r="Y121" s="20">
        <v>512.0</v>
      </c>
      <c r="Z121" s="20">
        <v>128.0</v>
      </c>
      <c r="AA121" s="20">
        <v>3219.0</v>
      </c>
      <c r="AB121" s="20">
        <v>1878.0</v>
      </c>
      <c r="AC121" s="20">
        <v>1.714</v>
      </c>
      <c r="AD121" s="20"/>
      <c r="AE121" s="20"/>
    </row>
    <row r="122">
      <c r="A122" s="20">
        <v>300000.0</v>
      </c>
      <c r="B122" s="20">
        <v>512.0</v>
      </c>
      <c r="C122" s="20">
        <v>128.0</v>
      </c>
      <c r="D122" s="20">
        <v>2778.0</v>
      </c>
      <c r="E122" s="20">
        <v>1772.0</v>
      </c>
      <c r="F122" s="20">
        <v>1.568</v>
      </c>
      <c r="G122" s="20" t="s">
        <v>106</v>
      </c>
      <c r="H122" s="20"/>
      <c r="N122" s="20">
        <v>300000.0</v>
      </c>
      <c r="O122" s="20">
        <v>512.0</v>
      </c>
      <c r="P122" s="20">
        <v>128.0</v>
      </c>
      <c r="Q122" s="20">
        <v>4440.0</v>
      </c>
      <c r="R122" s="20">
        <v>3086.0</v>
      </c>
      <c r="S122" s="20">
        <v>1.439</v>
      </c>
      <c r="T122" s="20" t="s">
        <v>106</v>
      </c>
      <c r="U122" s="20"/>
      <c r="X122" s="20">
        <v>50000.0</v>
      </c>
      <c r="Y122" s="20">
        <v>512.0</v>
      </c>
      <c r="Z122" s="20">
        <v>128.0</v>
      </c>
      <c r="AA122" s="20">
        <v>3204.0</v>
      </c>
      <c r="AB122" s="20">
        <v>2011.0</v>
      </c>
      <c r="AC122" s="20">
        <v>1.593</v>
      </c>
      <c r="AD122" s="20"/>
      <c r="AE122" s="20"/>
    </row>
    <row r="123">
      <c r="A123" s="20">
        <v>500000.0</v>
      </c>
      <c r="B123" s="20">
        <v>512.0</v>
      </c>
      <c r="C123" s="20">
        <v>128.0</v>
      </c>
      <c r="D123" s="20">
        <v>2788.0</v>
      </c>
      <c r="E123" s="20">
        <v>1783.0</v>
      </c>
      <c r="F123" s="20">
        <v>1.564</v>
      </c>
      <c r="G123" s="20" t="s">
        <v>106</v>
      </c>
      <c r="H123" s="20"/>
      <c r="N123" s="20">
        <v>500000.0</v>
      </c>
      <c r="O123" s="20">
        <v>512.0</v>
      </c>
      <c r="P123" s="20">
        <v>128.0</v>
      </c>
      <c r="Q123" s="20">
        <v>4193.0</v>
      </c>
      <c r="R123" s="20">
        <v>3177.0</v>
      </c>
      <c r="S123" s="20">
        <v>1.32</v>
      </c>
      <c r="T123" s="20" t="s">
        <v>106</v>
      </c>
      <c r="U123" s="20"/>
      <c r="X123" s="20">
        <v>100000.0</v>
      </c>
      <c r="Y123" s="20">
        <v>512.0</v>
      </c>
      <c r="Z123" s="20">
        <v>128.0</v>
      </c>
      <c r="AA123" s="20">
        <v>2738.0</v>
      </c>
      <c r="AB123" s="20">
        <v>1723.0</v>
      </c>
      <c r="AC123" s="20">
        <v>1.589</v>
      </c>
      <c r="AD123" s="20"/>
      <c r="AE123" s="20"/>
    </row>
    <row r="124">
      <c r="A124" s="20">
        <v>1000000.0</v>
      </c>
      <c r="B124" s="20">
        <v>512.0</v>
      </c>
      <c r="C124" s="20">
        <v>128.0</v>
      </c>
      <c r="D124" s="20">
        <v>2937.0</v>
      </c>
      <c r="E124" s="20">
        <v>1807.0</v>
      </c>
      <c r="F124" s="20">
        <v>1.625</v>
      </c>
      <c r="G124" s="20" t="s">
        <v>106</v>
      </c>
      <c r="H124" s="20"/>
      <c r="N124" s="20">
        <v>1000000.0</v>
      </c>
      <c r="O124" s="20">
        <v>512.0</v>
      </c>
      <c r="P124" s="20">
        <v>128.0</v>
      </c>
      <c r="Q124" s="20">
        <v>4248.0</v>
      </c>
      <c r="R124" s="20">
        <v>2810.0</v>
      </c>
      <c r="S124" s="20">
        <v>1.512</v>
      </c>
      <c r="T124" s="20" t="s">
        <v>106</v>
      </c>
      <c r="U124" s="20"/>
      <c r="X124" s="20">
        <v>300000.0</v>
      </c>
      <c r="Y124" s="20">
        <v>512.0</v>
      </c>
      <c r="Z124" s="20">
        <v>128.0</v>
      </c>
      <c r="AA124" s="20">
        <v>2787.0</v>
      </c>
      <c r="AB124" s="20">
        <v>1848.0</v>
      </c>
      <c r="AC124" s="20">
        <v>1.508</v>
      </c>
      <c r="AD124" s="20"/>
      <c r="AE124" s="20"/>
    </row>
    <row r="125">
      <c r="A125" s="20">
        <v>2000000.0</v>
      </c>
      <c r="B125" s="20">
        <v>512.0</v>
      </c>
      <c r="C125" s="20">
        <v>128.0</v>
      </c>
      <c r="D125" s="20">
        <v>2749.0</v>
      </c>
      <c r="E125" s="20">
        <v>1836.0</v>
      </c>
      <c r="F125" s="20">
        <v>1.497</v>
      </c>
      <c r="G125" s="20" t="s">
        <v>106</v>
      </c>
      <c r="H125" s="20"/>
      <c r="N125" s="20">
        <v>2000000.0</v>
      </c>
      <c r="O125" s="20">
        <v>512.0</v>
      </c>
      <c r="P125" s="20">
        <v>128.0</v>
      </c>
      <c r="Q125" s="20">
        <v>3822.0</v>
      </c>
      <c r="R125" s="20">
        <v>2598.0</v>
      </c>
      <c r="S125" s="20">
        <v>1.471</v>
      </c>
      <c r="T125" s="20" t="s">
        <v>106</v>
      </c>
      <c r="U125" s="20"/>
      <c r="X125" s="20">
        <v>500000.0</v>
      </c>
      <c r="Y125" s="20">
        <v>512.0</v>
      </c>
      <c r="Z125" s="20">
        <v>128.0</v>
      </c>
      <c r="AA125" s="20">
        <v>2856.0</v>
      </c>
      <c r="AB125" s="20">
        <v>1760.0</v>
      </c>
      <c r="AC125" s="20">
        <v>1.623</v>
      </c>
      <c r="AD125" s="20"/>
      <c r="AE125" s="20"/>
    </row>
    <row r="126">
      <c r="A126" s="56"/>
      <c r="B126" s="56"/>
      <c r="C126" s="56"/>
      <c r="D126" s="56"/>
      <c r="E126" s="56"/>
      <c r="F126" s="56"/>
      <c r="G126" s="56"/>
      <c r="H126" s="20"/>
      <c r="N126" s="56"/>
      <c r="O126" s="56"/>
      <c r="P126" s="56"/>
      <c r="Q126" s="56"/>
      <c r="R126" s="56"/>
      <c r="S126" s="56"/>
      <c r="T126" s="56"/>
      <c r="U126" s="56"/>
      <c r="X126" s="20">
        <v>1000000.0</v>
      </c>
      <c r="Y126" s="20">
        <v>512.0</v>
      </c>
      <c r="Z126" s="20">
        <v>128.0</v>
      </c>
      <c r="AA126" s="20">
        <v>2760.0</v>
      </c>
      <c r="AB126" s="20">
        <v>1801.0</v>
      </c>
      <c r="AC126" s="20">
        <v>1.532</v>
      </c>
      <c r="AD126" s="20"/>
      <c r="AE126" s="20"/>
    </row>
    <row r="127">
      <c r="H127" s="56"/>
      <c r="X127" s="20">
        <v>2000000.0</v>
      </c>
      <c r="Y127" s="20">
        <v>512.0</v>
      </c>
      <c r="Z127" s="20">
        <v>128.0</v>
      </c>
      <c r="AA127" s="20">
        <v>2767.0</v>
      </c>
      <c r="AB127" s="20">
        <v>1817.0</v>
      </c>
      <c r="AC127" s="20">
        <v>1.523</v>
      </c>
      <c r="AD127" s="20"/>
      <c r="AE127" s="20"/>
    </row>
    <row r="128">
      <c r="X128" s="56"/>
      <c r="Y128" s="56"/>
      <c r="Z128" s="56"/>
      <c r="AA128" s="56"/>
      <c r="AB128" s="56"/>
      <c r="AC128" s="56"/>
      <c r="AD128" s="56"/>
      <c r="AE128" s="56"/>
    </row>
  </sheetData>
  <autoFilter ref="$C$1:$C$999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7" t="s">
        <v>107</v>
      </c>
      <c r="B1" s="57" t="s">
        <v>99</v>
      </c>
      <c r="C1" s="57" t="s">
        <v>100</v>
      </c>
      <c r="D1" s="57" t="s">
        <v>109</v>
      </c>
      <c r="E1" s="57" t="s">
        <v>110</v>
      </c>
      <c r="F1" s="57" t="s">
        <v>111</v>
      </c>
      <c r="G1" s="57" t="s">
        <v>112</v>
      </c>
      <c r="H1" s="57" t="s">
        <v>113</v>
      </c>
      <c r="I1" s="57" t="s">
        <v>101</v>
      </c>
      <c r="J1" s="23" t="s">
        <v>102</v>
      </c>
      <c r="K1" s="23" t="s">
        <v>108</v>
      </c>
    </row>
    <row r="2">
      <c r="A2" s="58">
        <v>10000.0</v>
      </c>
      <c r="B2" s="58">
        <v>128.0</v>
      </c>
      <c r="C2" s="58">
        <v>8.0</v>
      </c>
      <c r="D2" s="58">
        <v>4.54792898E8</v>
      </c>
      <c r="E2" s="58">
        <v>231965.0</v>
      </c>
      <c r="F2" s="58">
        <v>21607.0</v>
      </c>
      <c r="G2" s="58">
        <v>21607.0</v>
      </c>
      <c r="H2" s="58">
        <v>0.0</v>
      </c>
      <c r="I2" s="58">
        <v>515.0</v>
      </c>
      <c r="J2" s="29" t="str">
        <f t="shared" ref="J2:J25" si="1">A2 &amp; "," &amp; C2</f>
        <v>10000,8</v>
      </c>
    </row>
    <row r="3">
      <c r="A3" s="58">
        <v>32128.0</v>
      </c>
      <c r="B3" s="58">
        <v>128.0</v>
      </c>
      <c r="C3" s="58">
        <v>8.0</v>
      </c>
      <c r="D3" s="58">
        <v>1.445318519E9</v>
      </c>
      <c r="E3" s="58">
        <v>629895.0</v>
      </c>
      <c r="F3" s="58">
        <v>27874.0</v>
      </c>
      <c r="G3" s="58">
        <v>27874.0</v>
      </c>
      <c r="H3" s="58">
        <v>0.0</v>
      </c>
      <c r="I3" s="58">
        <v>813.0</v>
      </c>
      <c r="J3" s="29" t="str">
        <f t="shared" si="1"/>
        <v>32128,8</v>
      </c>
    </row>
    <row r="4">
      <c r="A4" s="58">
        <v>50000.0</v>
      </c>
      <c r="B4" s="58">
        <v>128.0</v>
      </c>
      <c r="C4" s="58">
        <v>8.0</v>
      </c>
      <c r="D4" s="58">
        <v>2.245558137E9</v>
      </c>
      <c r="E4" s="58">
        <v>1001630.0</v>
      </c>
      <c r="F4" s="58">
        <v>36158.0</v>
      </c>
      <c r="G4" s="58">
        <v>36158.0</v>
      </c>
      <c r="H4" s="58">
        <v>0.0</v>
      </c>
      <c r="I4" s="58">
        <v>749.0</v>
      </c>
      <c r="J4" s="29" t="str">
        <f t="shared" si="1"/>
        <v>50000,8</v>
      </c>
    </row>
    <row r="5">
      <c r="A5" s="58">
        <v>100000.0</v>
      </c>
      <c r="B5" s="58">
        <v>128.0</v>
      </c>
      <c r="C5" s="58">
        <v>8.0</v>
      </c>
      <c r="D5" s="58">
        <v>4.485187119E9</v>
      </c>
      <c r="E5" s="58">
        <v>1818335.0</v>
      </c>
      <c r="F5" s="58">
        <v>51616.0</v>
      </c>
      <c r="G5" s="58">
        <v>51616.0</v>
      </c>
      <c r="H5" s="58">
        <v>0.0</v>
      </c>
      <c r="I5" s="58">
        <v>877.0</v>
      </c>
      <c r="J5" s="29" t="str">
        <f t="shared" si="1"/>
        <v>100000,8</v>
      </c>
    </row>
    <row r="6">
      <c r="A6" s="58">
        <v>300000.0</v>
      </c>
      <c r="B6" s="58">
        <v>128.0</v>
      </c>
      <c r="C6" s="58">
        <v>8.0</v>
      </c>
      <c r="D6" s="58">
        <v>1.3442027889E10</v>
      </c>
      <c r="E6" s="58">
        <v>5617707.0</v>
      </c>
      <c r="F6" s="58">
        <v>116451.0</v>
      </c>
      <c r="G6" s="58">
        <v>116451.0</v>
      </c>
      <c r="H6" s="58">
        <v>0.0</v>
      </c>
      <c r="I6" s="58">
        <v>762.0</v>
      </c>
      <c r="J6" s="29" t="str">
        <f t="shared" si="1"/>
        <v>300000,8</v>
      </c>
    </row>
    <row r="7">
      <c r="A7" s="58">
        <v>500000.0</v>
      </c>
      <c r="B7" s="58">
        <v>128.0</v>
      </c>
      <c r="C7" s="58">
        <v>8.0</v>
      </c>
      <c r="D7" s="58">
        <v>2.2401932749E10</v>
      </c>
      <c r="E7" s="58">
        <v>8997369.0</v>
      </c>
      <c r="F7" s="58">
        <v>203244.0</v>
      </c>
      <c r="G7" s="58">
        <v>203244.0</v>
      </c>
      <c r="H7" s="58">
        <v>0.0</v>
      </c>
      <c r="I7" s="58">
        <v>790.0</v>
      </c>
      <c r="J7" s="29" t="str">
        <f t="shared" si="1"/>
        <v>500000,8</v>
      </c>
    </row>
    <row r="8">
      <c r="A8" s="58">
        <v>10000.0</v>
      </c>
      <c r="B8" s="58">
        <v>128.0</v>
      </c>
      <c r="C8" s="58">
        <v>16.0</v>
      </c>
      <c r="D8" s="58">
        <v>4.54703958E8</v>
      </c>
      <c r="E8" s="58">
        <v>233831.0</v>
      </c>
      <c r="F8" s="58">
        <v>18872.0</v>
      </c>
      <c r="G8" s="58">
        <v>18872.0</v>
      </c>
      <c r="H8" s="58">
        <v>0.0</v>
      </c>
      <c r="I8" s="58">
        <v>666.0</v>
      </c>
      <c r="J8" s="29" t="str">
        <f t="shared" si="1"/>
        <v>10000,16</v>
      </c>
    </row>
    <row r="9">
      <c r="A9" s="58">
        <v>32128.0</v>
      </c>
      <c r="B9" s="58">
        <v>128.0</v>
      </c>
      <c r="C9" s="58">
        <v>16.0</v>
      </c>
      <c r="D9" s="58">
        <v>1.446404885E9</v>
      </c>
      <c r="E9" s="58">
        <v>707577.0</v>
      </c>
      <c r="F9" s="58">
        <v>34749.0</v>
      </c>
      <c r="G9" s="58">
        <v>34749.0</v>
      </c>
      <c r="H9" s="58">
        <v>0.0</v>
      </c>
      <c r="I9" s="58">
        <v>1061.0</v>
      </c>
      <c r="J9" s="29" t="str">
        <f t="shared" si="1"/>
        <v>32128,16</v>
      </c>
    </row>
    <row r="10">
      <c r="A10" s="58">
        <v>50000.0</v>
      </c>
      <c r="B10" s="58">
        <v>128.0</v>
      </c>
      <c r="C10" s="58">
        <v>16.0</v>
      </c>
      <c r="D10" s="58">
        <v>2.246114213E9</v>
      </c>
      <c r="E10" s="58">
        <v>979147.0</v>
      </c>
      <c r="F10" s="58">
        <v>38089.0</v>
      </c>
      <c r="G10" s="58">
        <v>38089.0</v>
      </c>
      <c r="H10" s="58">
        <v>0.0</v>
      </c>
      <c r="I10" s="58">
        <v>857.0</v>
      </c>
      <c r="J10" s="29" t="str">
        <f t="shared" si="1"/>
        <v>50000,16</v>
      </c>
    </row>
    <row r="11">
      <c r="A11" s="58">
        <v>100000.0</v>
      </c>
      <c r="B11" s="58">
        <v>128.0</v>
      </c>
      <c r="C11" s="58">
        <v>16.0</v>
      </c>
      <c r="D11" s="58">
        <v>4.483111041E9</v>
      </c>
      <c r="E11" s="58">
        <v>1890153.0</v>
      </c>
      <c r="F11" s="58">
        <v>47127.0</v>
      </c>
      <c r="G11" s="58">
        <v>47127.0</v>
      </c>
      <c r="H11" s="58">
        <v>0.0</v>
      </c>
      <c r="I11" s="58">
        <v>766.0</v>
      </c>
      <c r="J11" s="29" t="str">
        <f t="shared" si="1"/>
        <v>100000,16</v>
      </c>
    </row>
    <row r="12">
      <c r="A12" s="58">
        <v>300000.0</v>
      </c>
      <c r="B12" s="58">
        <v>128.0</v>
      </c>
      <c r="C12" s="58">
        <v>16.0</v>
      </c>
      <c r="D12" s="58">
        <v>1.3443266195E10</v>
      </c>
      <c r="E12" s="58">
        <v>5569981.0</v>
      </c>
      <c r="F12" s="58">
        <v>125212.0</v>
      </c>
      <c r="G12" s="58">
        <v>125212.0</v>
      </c>
      <c r="H12" s="58">
        <v>0.0</v>
      </c>
      <c r="I12" s="58">
        <v>758.0</v>
      </c>
      <c r="J12" s="29" t="str">
        <f t="shared" si="1"/>
        <v>300000,16</v>
      </c>
    </row>
    <row r="13">
      <c r="A13" s="58">
        <v>500000.0</v>
      </c>
      <c r="B13" s="58">
        <v>128.0</v>
      </c>
      <c r="C13" s="58">
        <v>16.0</v>
      </c>
      <c r="D13" s="58">
        <v>2.2403215705E10</v>
      </c>
      <c r="E13" s="58">
        <v>8922705.0</v>
      </c>
      <c r="F13" s="58">
        <v>197507.0</v>
      </c>
      <c r="G13" s="58">
        <v>197507.0</v>
      </c>
      <c r="H13" s="58">
        <v>0.0</v>
      </c>
      <c r="I13" s="58">
        <v>750.0</v>
      </c>
      <c r="J13" s="29" t="str">
        <f t="shared" si="1"/>
        <v>500000,16</v>
      </c>
    </row>
    <row r="14">
      <c r="A14" s="58">
        <v>10000.0</v>
      </c>
      <c r="B14" s="58">
        <v>128.0</v>
      </c>
      <c r="C14" s="58">
        <v>32.0</v>
      </c>
      <c r="D14" s="58">
        <v>4.54880326E8</v>
      </c>
      <c r="E14" s="58">
        <v>229431.0</v>
      </c>
      <c r="F14" s="58">
        <v>21799.0</v>
      </c>
      <c r="G14" s="58">
        <v>21799.0</v>
      </c>
      <c r="H14" s="58">
        <v>0.0</v>
      </c>
      <c r="I14" s="58">
        <v>751.0</v>
      </c>
      <c r="J14" s="29" t="str">
        <f t="shared" si="1"/>
        <v>10000,32</v>
      </c>
      <c r="K14" s="23" t="s">
        <v>108</v>
      </c>
    </row>
    <row r="15">
      <c r="A15" s="58">
        <v>32128.0</v>
      </c>
      <c r="B15" s="58">
        <v>128.0</v>
      </c>
      <c r="C15" s="58">
        <v>32.0</v>
      </c>
      <c r="D15" s="58">
        <v>1.446216754E9</v>
      </c>
      <c r="E15" s="58">
        <v>659353.0</v>
      </c>
      <c r="F15" s="58">
        <v>34992.0</v>
      </c>
      <c r="G15" s="58">
        <v>34992.0</v>
      </c>
      <c r="H15" s="58">
        <v>0.0</v>
      </c>
      <c r="I15" s="58">
        <v>810.0</v>
      </c>
      <c r="J15" s="29" t="str">
        <f t="shared" si="1"/>
        <v>32128,32</v>
      </c>
    </row>
    <row r="16">
      <c r="A16" s="58">
        <v>50000.0</v>
      </c>
      <c r="B16" s="58">
        <v>128.0</v>
      </c>
      <c r="C16" s="58">
        <v>32.0</v>
      </c>
      <c r="D16" s="58">
        <v>2.246583578E9</v>
      </c>
      <c r="E16" s="58">
        <v>976622.0</v>
      </c>
      <c r="F16" s="58">
        <v>38864.0</v>
      </c>
      <c r="G16" s="58">
        <v>38864.0</v>
      </c>
      <c r="H16" s="58">
        <v>0.0</v>
      </c>
      <c r="I16" s="58">
        <v>903.0</v>
      </c>
      <c r="J16" s="29" t="str">
        <f t="shared" si="1"/>
        <v>50000,32</v>
      </c>
    </row>
    <row r="17">
      <c r="A17" s="58">
        <v>100000.0</v>
      </c>
      <c r="B17" s="58">
        <v>128.0</v>
      </c>
      <c r="C17" s="58">
        <v>32.0</v>
      </c>
      <c r="D17" s="58">
        <v>4.486401605E9</v>
      </c>
      <c r="E17" s="58">
        <v>1836422.0</v>
      </c>
      <c r="F17" s="58">
        <v>54584.0</v>
      </c>
      <c r="G17" s="58">
        <v>54584.0</v>
      </c>
      <c r="H17" s="58">
        <v>0.0</v>
      </c>
      <c r="I17" s="58">
        <v>751.0</v>
      </c>
      <c r="J17" s="29" t="str">
        <f t="shared" si="1"/>
        <v>100000,32</v>
      </c>
    </row>
    <row r="18">
      <c r="A18" s="58">
        <v>300000.0</v>
      </c>
      <c r="B18" s="58">
        <v>128.0</v>
      </c>
      <c r="C18" s="58">
        <v>32.0</v>
      </c>
      <c r="D18" s="58">
        <v>1.345538944E10</v>
      </c>
      <c r="E18" s="58">
        <v>5680524.0</v>
      </c>
      <c r="F18" s="58">
        <v>135910.0</v>
      </c>
      <c r="G18" s="58">
        <v>135910.0</v>
      </c>
      <c r="H18" s="58">
        <v>0.0</v>
      </c>
      <c r="I18" s="58">
        <v>773.0</v>
      </c>
      <c r="J18" s="29" t="str">
        <f t="shared" si="1"/>
        <v>300000,32</v>
      </c>
    </row>
    <row r="19">
      <c r="A19" s="58">
        <v>500000.0</v>
      </c>
      <c r="B19" s="58">
        <v>128.0</v>
      </c>
      <c r="C19" s="58">
        <v>32.0</v>
      </c>
      <c r="D19" s="58">
        <v>2.2401379742E10</v>
      </c>
      <c r="E19" s="58">
        <v>8925084.0</v>
      </c>
      <c r="F19" s="58">
        <v>202133.0</v>
      </c>
      <c r="G19" s="58">
        <v>202133.0</v>
      </c>
      <c r="H19" s="58">
        <v>0.0</v>
      </c>
      <c r="I19" s="58">
        <v>787.0</v>
      </c>
      <c r="J19" s="29" t="str">
        <f t="shared" si="1"/>
        <v>500000,32</v>
      </c>
    </row>
    <row r="20">
      <c r="A20" s="58">
        <v>10000.0</v>
      </c>
      <c r="B20" s="58">
        <v>128.0</v>
      </c>
      <c r="C20" s="58">
        <v>64.0</v>
      </c>
      <c r="D20" s="58">
        <v>4.54578729E8</v>
      </c>
      <c r="E20" s="58">
        <v>228319.0</v>
      </c>
      <c r="F20" s="58">
        <v>21037.0</v>
      </c>
      <c r="G20" s="58">
        <v>21037.0</v>
      </c>
      <c r="H20" s="58">
        <v>0.0</v>
      </c>
      <c r="I20" s="58">
        <v>873.0</v>
      </c>
      <c r="J20" s="29" t="str">
        <f t="shared" si="1"/>
        <v>10000,64</v>
      </c>
    </row>
    <row r="21">
      <c r="A21" s="58">
        <v>32128.0</v>
      </c>
      <c r="B21" s="58">
        <v>128.0</v>
      </c>
      <c r="C21" s="58">
        <v>64.0</v>
      </c>
      <c r="D21" s="58">
        <v>1.445389994E9</v>
      </c>
      <c r="E21" s="58">
        <v>626223.0</v>
      </c>
      <c r="F21" s="58">
        <v>28246.0</v>
      </c>
      <c r="G21" s="58">
        <v>28246.0</v>
      </c>
      <c r="H21" s="58">
        <v>0.0</v>
      </c>
      <c r="I21" s="58">
        <v>723.0</v>
      </c>
      <c r="J21" s="29" t="str">
        <f t="shared" si="1"/>
        <v>32128,64</v>
      </c>
    </row>
    <row r="22">
      <c r="A22" s="58">
        <v>50000.0</v>
      </c>
      <c r="B22" s="58">
        <v>128.0</v>
      </c>
      <c r="C22" s="58">
        <v>64.0</v>
      </c>
      <c r="D22" s="58">
        <v>2.245034288E9</v>
      </c>
      <c r="E22" s="58">
        <v>984651.0</v>
      </c>
      <c r="F22" s="58">
        <v>30989.0</v>
      </c>
      <c r="G22" s="58">
        <v>30989.0</v>
      </c>
      <c r="H22" s="58">
        <v>0.0</v>
      </c>
      <c r="I22" s="58">
        <v>705.0</v>
      </c>
      <c r="J22" s="29" t="str">
        <f t="shared" si="1"/>
        <v>50000,64</v>
      </c>
    </row>
    <row r="23">
      <c r="A23" s="58">
        <v>100000.0</v>
      </c>
      <c r="B23" s="58">
        <v>128.0</v>
      </c>
      <c r="C23" s="58">
        <v>64.0</v>
      </c>
      <c r="D23" s="58">
        <v>4.48316815E9</v>
      </c>
      <c r="E23" s="58">
        <v>1841867.0</v>
      </c>
      <c r="F23" s="58">
        <v>47925.0</v>
      </c>
      <c r="G23" s="58">
        <v>47925.0</v>
      </c>
      <c r="H23" s="58">
        <v>0.0</v>
      </c>
      <c r="I23" s="58">
        <v>732.0</v>
      </c>
      <c r="J23" s="29" t="str">
        <f t="shared" si="1"/>
        <v>100000,64</v>
      </c>
    </row>
    <row r="24">
      <c r="A24" s="58">
        <v>300000.0</v>
      </c>
      <c r="B24" s="58">
        <v>128.0</v>
      </c>
      <c r="C24" s="58">
        <v>64.0</v>
      </c>
      <c r="D24" s="58">
        <v>1.3441252686E10</v>
      </c>
      <c r="E24" s="58">
        <v>5498074.0</v>
      </c>
      <c r="F24" s="58">
        <v>145383.0</v>
      </c>
      <c r="G24" s="58">
        <v>145383.0</v>
      </c>
      <c r="H24" s="58">
        <v>0.0</v>
      </c>
      <c r="I24" s="58">
        <v>992.0</v>
      </c>
      <c r="J24" s="29" t="str">
        <f t="shared" si="1"/>
        <v>300000,64</v>
      </c>
    </row>
    <row r="25">
      <c r="A25" s="58">
        <v>500000.0</v>
      </c>
      <c r="B25" s="58">
        <v>128.0</v>
      </c>
      <c r="C25" s="58">
        <v>64.0</v>
      </c>
      <c r="D25" s="58">
        <v>2.2408741572E10</v>
      </c>
      <c r="E25" s="58">
        <v>9111514.0</v>
      </c>
      <c r="F25" s="58">
        <v>209016.0</v>
      </c>
      <c r="G25" s="58">
        <v>209016.0</v>
      </c>
      <c r="H25" s="58">
        <v>0.0</v>
      </c>
      <c r="I25" s="58">
        <v>754.0</v>
      </c>
      <c r="J25" s="29" t="str">
        <f t="shared" si="1"/>
        <v>500000,64</v>
      </c>
    </row>
    <row r="26">
      <c r="A26" s="57" t="s">
        <v>107</v>
      </c>
      <c r="B26" s="57" t="s">
        <v>99</v>
      </c>
      <c r="C26" s="57" t="s">
        <v>100</v>
      </c>
      <c r="D26" s="57" t="s">
        <v>109</v>
      </c>
      <c r="E26" s="57" t="s">
        <v>110</v>
      </c>
      <c r="F26" s="57" t="s">
        <v>111</v>
      </c>
      <c r="G26" s="57" t="s">
        <v>112</v>
      </c>
      <c r="H26" s="57" t="s">
        <v>113</v>
      </c>
      <c r="I26" s="57" t="s">
        <v>101</v>
      </c>
    </row>
    <row r="27">
      <c r="A27" s="58">
        <v>10000.0</v>
      </c>
      <c r="B27" s="58">
        <v>256.0</v>
      </c>
      <c r="C27" s="58">
        <v>8.0</v>
      </c>
      <c r="D27" s="58">
        <v>9.05533195E8</v>
      </c>
      <c r="E27" s="58">
        <v>419609.0</v>
      </c>
      <c r="F27" s="58">
        <v>34308.0</v>
      </c>
      <c r="G27" s="58">
        <v>34308.0</v>
      </c>
      <c r="H27" s="58">
        <v>0.0</v>
      </c>
      <c r="I27" s="58">
        <v>1209.0</v>
      </c>
      <c r="J27" s="23" t="s">
        <v>102</v>
      </c>
      <c r="K27" s="23" t="s">
        <v>108</v>
      </c>
    </row>
    <row r="28">
      <c r="A28" s="58">
        <v>10000.0</v>
      </c>
      <c r="B28" s="58">
        <v>256.0</v>
      </c>
      <c r="C28" s="58">
        <v>16.0</v>
      </c>
      <c r="D28" s="58">
        <v>9.04674781E8</v>
      </c>
      <c r="E28" s="58">
        <v>400885.0</v>
      </c>
      <c r="F28" s="58">
        <v>21619.0</v>
      </c>
      <c r="G28" s="58">
        <v>21619.0</v>
      </c>
      <c r="H28" s="58">
        <v>0.0</v>
      </c>
      <c r="I28" s="58">
        <v>852.0</v>
      </c>
    </row>
    <row r="29">
      <c r="A29" s="58">
        <v>10000.0</v>
      </c>
      <c r="B29" s="58">
        <v>256.0</v>
      </c>
      <c r="C29" s="58">
        <v>32.0</v>
      </c>
      <c r="D29" s="58">
        <v>9.05165677E8</v>
      </c>
      <c r="E29" s="58">
        <v>414877.0</v>
      </c>
      <c r="F29" s="58">
        <v>29964.0</v>
      </c>
      <c r="G29" s="58">
        <v>29964.0</v>
      </c>
      <c r="H29" s="58">
        <v>0.0</v>
      </c>
      <c r="I29" s="58">
        <v>1194.0</v>
      </c>
    </row>
    <row r="30">
      <c r="A30" s="58">
        <v>10000.0</v>
      </c>
      <c r="B30" s="58">
        <v>256.0</v>
      </c>
      <c r="C30" s="58">
        <v>64.0</v>
      </c>
      <c r="D30" s="58">
        <v>9.05240368E8</v>
      </c>
      <c r="E30" s="58">
        <v>407195.0</v>
      </c>
      <c r="F30" s="58">
        <v>29542.0</v>
      </c>
      <c r="G30" s="58">
        <v>29542.0</v>
      </c>
      <c r="H30" s="58">
        <v>0.0</v>
      </c>
      <c r="I30" s="58">
        <v>1234.0</v>
      </c>
    </row>
    <row r="31">
      <c r="A31" s="58">
        <v>32128.0</v>
      </c>
      <c r="B31" s="58">
        <v>128.0</v>
      </c>
      <c r="C31" s="58">
        <v>8.0</v>
      </c>
      <c r="D31" s="58">
        <v>2.885771332E9</v>
      </c>
      <c r="E31" s="58">
        <v>1181725.0</v>
      </c>
      <c r="F31" s="58">
        <v>42305.0</v>
      </c>
      <c r="G31" s="58">
        <v>42305.0</v>
      </c>
      <c r="H31" s="58">
        <v>0.0</v>
      </c>
      <c r="I31" s="58">
        <v>1343.0</v>
      </c>
    </row>
    <row r="32">
      <c r="A32" s="58">
        <v>32128.0</v>
      </c>
      <c r="B32" s="58">
        <v>128.0</v>
      </c>
      <c r="C32" s="58">
        <v>16.0</v>
      </c>
      <c r="D32" s="58">
        <v>2.885375806E9</v>
      </c>
      <c r="E32" s="58">
        <v>1244551.0</v>
      </c>
      <c r="F32" s="58">
        <v>37146.0</v>
      </c>
      <c r="G32" s="58">
        <v>37146.0</v>
      </c>
      <c r="H32" s="58">
        <v>0.0</v>
      </c>
      <c r="I32" s="58">
        <v>1577.0</v>
      </c>
    </row>
    <row r="33">
      <c r="A33" s="58">
        <v>32128.0</v>
      </c>
      <c r="B33" s="58">
        <v>128.0</v>
      </c>
      <c r="C33" s="58">
        <v>32.0</v>
      </c>
      <c r="D33" s="58">
        <v>2.885362517E9</v>
      </c>
      <c r="E33" s="58">
        <v>1182935.0</v>
      </c>
      <c r="F33" s="58">
        <v>39244.0</v>
      </c>
      <c r="G33" s="58">
        <v>39244.0</v>
      </c>
      <c r="H33" s="58">
        <v>0.0</v>
      </c>
      <c r="I33" s="58">
        <v>1373.0</v>
      </c>
    </row>
    <row r="34">
      <c r="A34" s="58">
        <v>32128.0</v>
      </c>
      <c r="B34" s="58">
        <v>128.0</v>
      </c>
      <c r="C34" s="58">
        <v>64.0</v>
      </c>
      <c r="D34" s="58">
        <v>2.886129992E9</v>
      </c>
      <c r="E34" s="58">
        <v>1184744.0</v>
      </c>
      <c r="F34" s="58">
        <v>43612.0</v>
      </c>
      <c r="G34" s="58">
        <v>43612.0</v>
      </c>
      <c r="H34" s="58">
        <v>0.0</v>
      </c>
      <c r="I34" s="58">
        <v>1469.0</v>
      </c>
    </row>
    <row r="35">
      <c r="A35" s="58">
        <v>50000.0</v>
      </c>
      <c r="B35" s="58">
        <v>128.0</v>
      </c>
      <c r="C35" s="58">
        <v>8.0</v>
      </c>
      <c r="D35" s="58">
        <v>4.486636305E9</v>
      </c>
      <c r="E35" s="58">
        <v>1838658.0</v>
      </c>
      <c r="F35" s="58">
        <v>55569.0</v>
      </c>
      <c r="G35" s="58">
        <v>55569.0</v>
      </c>
      <c r="H35" s="58">
        <v>0.0</v>
      </c>
      <c r="I35" s="58">
        <v>1536.0</v>
      </c>
    </row>
    <row r="36">
      <c r="A36" s="58">
        <v>50000.0</v>
      </c>
      <c r="B36" s="58">
        <v>128.0</v>
      </c>
      <c r="C36" s="58">
        <v>16.0</v>
      </c>
      <c r="D36" s="58">
        <v>4.485877254E9</v>
      </c>
      <c r="E36" s="58">
        <v>1884338.0</v>
      </c>
      <c r="F36" s="58">
        <v>52141.0</v>
      </c>
      <c r="G36" s="58">
        <v>52141.0</v>
      </c>
      <c r="H36" s="58">
        <v>0.0</v>
      </c>
      <c r="I36" s="58">
        <v>1377.0</v>
      </c>
    </row>
    <row r="37">
      <c r="A37" s="58">
        <v>50000.0</v>
      </c>
      <c r="B37" s="58">
        <v>128.0</v>
      </c>
      <c r="C37" s="58">
        <v>32.0</v>
      </c>
      <c r="D37" s="58">
        <v>4.489291825E9</v>
      </c>
      <c r="E37" s="58">
        <v>1846813.0</v>
      </c>
      <c r="F37" s="58">
        <v>77132.0</v>
      </c>
      <c r="G37" s="58">
        <v>77132.0</v>
      </c>
      <c r="H37" s="58">
        <v>0.0</v>
      </c>
      <c r="I37" s="58">
        <v>1392.0</v>
      </c>
    </row>
    <row r="38">
      <c r="A38" s="58">
        <v>50000.0</v>
      </c>
      <c r="B38" s="58">
        <v>128.0</v>
      </c>
      <c r="C38" s="58">
        <v>64.0</v>
      </c>
      <c r="D38" s="58">
        <v>4.48528211E9</v>
      </c>
      <c r="E38" s="58">
        <v>1857821.0</v>
      </c>
      <c r="F38" s="58">
        <v>46836.0</v>
      </c>
      <c r="G38" s="58">
        <v>46836.0</v>
      </c>
      <c r="H38" s="58">
        <v>0.0</v>
      </c>
      <c r="I38" s="58">
        <v>1406.0</v>
      </c>
    </row>
    <row r="39">
      <c r="A39" s="58">
        <v>100000.0</v>
      </c>
      <c r="B39" s="58">
        <v>128.0</v>
      </c>
      <c r="C39" s="58">
        <v>8.0</v>
      </c>
      <c r="D39" s="58">
        <v>8.97228143E9</v>
      </c>
      <c r="E39" s="58">
        <v>3828083.0</v>
      </c>
      <c r="F39" s="58">
        <v>98079.0</v>
      </c>
      <c r="G39" s="58">
        <v>98079.0</v>
      </c>
      <c r="H39" s="58">
        <v>0.0</v>
      </c>
      <c r="I39" s="58">
        <v>1610.0</v>
      </c>
    </row>
    <row r="40">
      <c r="A40" s="58">
        <v>100000.0</v>
      </c>
      <c r="B40" s="58">
        <v>128.0</v>
      </c>
      <c r="C40" s="58">
        <v>16.0</v>
      </c>
      <c r="D40" s="58">
        <v>8.969183819E9</v>
      </c>
      <c r="E40" s="58">
        <v>3723494.0</v>
      </c>
      <c r="F40" s="58">
        <v>106380.0</v>
      </c>
      <c r="G40" s="58">
        <v>106380.0</v>
      </c>
      <c r="H40" s="58">
        <v>0.0</v>
      </c>
      <c r="I40" s="58">
        <v>1650.0</v>
      </c>
      <c r="J40" s="23" t="s">
        <v>102</v>
      </c>
      <c r="K40" s="23" t="s">
        <v>108</v>
      </c>
    </row>
    <row r="41">
      <c r="A41" s="58">
        <v>100000.0</v>
      </c>
      <c r="B41" s="58">
        <v>128.0</v>
      </c>
      <c r="C41" s="58">
        <v>32.0</v>
      </c>
      <c r="D41" s="58">
        <v>8.969363345E9</v>
      </c>
      <c r="E41" s="58">
        <v>3660468.0</v>
      </c>
      <c r="F41" s="58">
        <v>101562.0</v>
      </c>
      <c r="G41" s="58">
        <v>101562.0</v>
      </c>
      <c r="H41" s="58">
        <v>0.0</v>
      </c>
      <c r="I41" s="58">
        <v>1700.0</v>
      </c>
    </row>
    <row r="42">
      <c r="A42" s="58">
        <v>100000.0</v>
      </c>
      <c r="B42" s="58">
        <v>128.0</v>
      </c>
      <c r="C42" s="58">
        <v>64.0</v>
      </c>
      <c r="D42" s="58">
        <v>8.966768299E9</v>
      </c>
      <c r="E42" s="58">
        <v>3730215.0</v>
      </c>
      <c r="F42" s="58">
        <v>102806.0</v>
      </c>
      <c r="G42" s="58">
        <v>102806.0</v>
      </c>
      <c r="H42" s="58">
        <v>0.0</v>
      </c>
      <c r="I42" s="58">
        <v>1594.0</v>
      </c>
    </row>
    <row r="43">
      <c r="A43" s="58">
        <v>300000.0</v>
      </c>
      <c r="B43" s="58">
        <v>128.0</v>
      </c>
      <c r="C43" s="58">
        <v>8.0</v>
      </c>
      <c r="D43" s="58">
        <v>2.6888653769E10</v>
      </c>
      <c r="E43" s="58">
        <v>1.0787738E7</v>
      </c>
      <c r="F43" s="58">
        <v>223347.0</v>
      </c>
      <c r="G43" s="58">
        <v>223347.0</v>
      </c>
      <c r="H43" s="58">
        <v>0.0</v>
      </c>
      <c r="I43" s="58">
        <v>1630.0</v>
      </c>
    </row>
    <row r="44">
      <c r="A44" s="58">
        <v>300000.0</v>
      </c>
      <c r="B44" s="58">
        <v>128.0</v>
      </c>
      <c r="C44" s="58">
        <v>16.0</v>
      </c>
      <c r="D44" s="58">
        <v>2.6886213485E10</v>
      </c>
      <c r="E44" s="58">
        <v>1.0772631E7</v>
      </c>
      <c r="F44" s="58">
        <v>217071.0</v>
      </c>
      <c r="G44" s="58">
        <v>217071.0</v>
      </c>
      <c r="H44" s="58">
        <v>0.0</v>
      </c>
      <c r="I44" s="58">
        <v>1445.0</v>
      </c>
    </row>
    <row r="45">
      <c r="A45" s="58">
        <v>300000.0</v>
      </c>
      <c r="B45" s="58">
        <v>128.0</v>
      </c>
      <c r="C45" s="58">
        <v>32.0</v>
      </c>
      <c r="D45" s="58">
        <v>2.6894111816E10</v>
      </c>
      <c r="E45" s="58">
        <v>1.0864539E7</v>
      </c>
      <c r="F45" s="58">
        <v>230098.0</v>
      </c>
      <c r="G45" s="58">
        <v>230098.0</v>
      </c>
      <c r="H45" s="58">
        <v>0.0</v>
      </c>
      <c r="I45" s="58">
        <v>1449.0</v>
      </c>
    </row>
    <row r="46">
      <c r="A46" s="58">
        <v>300000.0</v>
      </c>
      <c r="B46" s="58">
        <v>128.0</v>
      </c>
      <c r="C46" s="58">
        <v>64.0</v>
      </c>
      <c r="D46" s="58">
        <v>2.6884598662E10</v>
      </c>
      <c r="E46" s="58">
        <v>1.073527E7</v>
      </c>
      <c r="F46" s="58">
        <v>241582.0</v>
      </c>
      <c r="G46" s="58">
        <v>241582.0</v>
      </c>
      <c r="H46" s="58">
        <v>0.0</v>
      </c>
      <c r="I46" s="58">
        <v>1420.0</v>
      </c>
    </row>
    <row r="47">
      <c r="A47" s="58">
        <v>500000.0</v>
      </c>
      <c r="B47" s="58">
        <v>128.0</v>
      </c>
      <c r="C47" s="58">
        <v>8.0</v>
      </c>
      <c r="D47" s="58">
        <v>4.4802695246E10</v>
      </c>
      <c r="E47" s="58">
        <v>1.7744791E7</v>
      </c>
      <c r="F47" s="58">
        <v>362781.0</v>
      </c>
      <c r="G47" s="58">
        <v>362781.0</v>
      </c>
      <c r="H47" s="58">
        <v>0.0</v>
      </c>
      <c r="I47" s="58">
        <v>1502.0</v>
      </c>
    </row>
    <row r="48">
      <c r="A48" s="58">
        <v>500000.0</v>
      </c>
      <c r="B48" s="58">
        <v>128.0</v>
      </c>
      <c r="C48" s="58">
        <v>16.0</v>
      </c>
      <c r="D48" s="58">
        <v>4.4800182731E10</v>
      </c>
      <c r="E48" s="58">
        <v>1.7759384E7</v>
      </c>
      <c r="F48" s="58">
        <v>375270.0</v>
      </c>
      <c r="G48" s="58">
        <v>375270.0</v>
      </c>
      <c r="H48" s="58">
        <v>0.0</v>
      </c>
      <c r="I48" s="58">
        <v>1500.0</v>
      </c>
    </row>
    <row r="49">
      <c r="A49" s="58">
        <v>500000.0</v>
      </c>
      <c r="B49" s="58">
        <v>128.0</v>
      </c>
      <c r="C49" s="58">
        <v>32.0</v>
      </c>
      <c r="D49" s="58">
        <v>4.4809753476E10</v>
      </c>
      <c r="E49" s="58">
        <v>1.7921394E7</v>
      </c>
      <c r="F49" s="58">
        <v>373116.0</v>
      </c>
      <c r="G49" s="58">
        <v>373116.0</v>
      </c>
      <c r="H49" s="58">
        <v>0.0</v>
      </c>
      <c r="I49" s="58">
        <v>1447.0</v>
      </c>
    </row>
    <row r="50">
      <c r="A50" s="58">
        <v>500000.0</v>
      </c>
      <c r="B50" s="58">
        <v>128.0</v>
      </c>
      <c r="C50" s="58">
        <v>64.0</v>
      </c>
      <c r="D50" s="58">
        <v>4.4820099295E10</v>
      </c>
      <c r="E50" s="58">
        <v>1.8058253E7</v>
      </c>
      <c r="F50" s="58">
        <v>382719.0</v>
      </c>
      <c r="G50" s="58">
        <v>382719.0</v>
      </c>
      <c r="H50" s="58">
        <v>0.0</v>
      </c>
      <c r="I50" s="58">
        <v>1478.0</v>
      </c>
    </row>
    <row r="51">
      <c r="A51" s="57" t="s">
        <v>107</v>
      </c>
      <c r="B51" s="57" t="s">
        <v>99</v>
      </c>
      <c r="C51" s="57" t="s">
        <v>100</v>
      </c>
      <c r="D51" s="57" t="s">
        <v>109</v>
      </c>
      <c r="E51" s="57" t="s">
        <v>110</v>
      </c>
      <c r="F51" s="57" t="s">
        <v>111</v>
      </c>
      <c r="G51" s="57" t="s">
        <v>112</v>
      </c>
      <c r="H51" s="57" t="s">
        <v>113</v>
      </c>
      <c r="I51" s="57" t="s">
        <v>101</v>
      </c>
    </row>
    <row r="52">
      <c r="A52" s="58">
        <v>10000.0</v>
      </c>
      <c r="B52" s="58">
        <v>512.0</v>
      </c>
      <c r="C52" s="58">
        <v>8.0</v>
      </c>
      <c r="D52" s="58">
        <v>1.805708596E9</v>
      </c>
      <c r="E52" s="58">
        <v>770813.0</v>
      </c>
      <c r="F52" s="58">
        <v>46318.0</v>
      </c>
      <c r="G52" s="58">
        <v>46318.0</v>
      </c>
      <c r="H52" s="58">
        <v>0.0</v>
      </c>
      <c r="I52" s="58">
        <v>2558.0</v>
      </c>
    </row>
    <row r="53">
      <c r="A53" s="58">
        <v>10000.0</v>
      </c>
      <c r="B53" s="58">
        <v>512.0</v>
      </c>
      <c r="C53" s="58">
        <v>16.0</v>
      </c>
      <c r="D53" s="58">
        <v>1.805876576E9</v>
      </c>
      <c r="E53" s="58">
        <v>771894.0</v>
      </c>
      <c r="F53" s="58">
        <v>46208.0</v>
      </c>
      <c r="G53" s="58">
        <v>46208.0</v>
      </c>
      <c r="H53" s="58">
        <v>0.0</v>
      </c>
      <c r="I53" s="58">
        <v>2540.0</v>
      </c>
    </row>
    <row r="54">
      <c r="A54" s="58">
        <v>10000.0</v>
      </c>
      <c r="B54" s="58">
        <v>512.0</v>
      </c>
      <c r="C54" s="58">
        <v>32.0</v>
      </c>
      <c r="D54" s="58">
        <v>1.806596839E9</v>
      </c>
      <c r="E54" s="58">
        <v>786272.0</v>
      </c>
      <c r="F54" s="58">
        <v>49414.0</v>
      </c>
      <c r="G54" s="58">
        <v>49414.0</v>
      </c>
      <c r="H54" s="58">
        <v>0.0</v>
      </c>
      <c r="I54" s="58">
        <v>2997.0</v>
      </c>
    </row>
    <row r="55">
      <c r="A55" s="58">
        <v>10000.0</v>
      </c>
      <c r="B55" s="58">
        <v>512.0</v>
      </c>
      <c r="C55" s="58">
        <v>64.0</v>
      </c>
      <c r="D55" s="58">
        <v>1.807695917E9</v>
      </c>
      <c r="E55" s="58">
        <v>826338.0</v>
      </c>
      <c r="F55" s="58">
        <v>53353.0</v>
      </c>
      <c r="G55" s="58">
        <v>53353.0</v>
      </c>
      <c r="H55" s="58">
        <v>0.0</v>
      </c>
      <c r="I55" s="58">
        <v>2649.0</v>
      </c>
    </row>
    <row r="56">
      <c r="A56" s="58">
        <v>32128.0</v>
      </c>
      <c r="B56" s="58">
        <v>512.0</v>
      </c>
      <c r="C56" s="58">
        <v>8.0</v>
      </c>
      <c r="D56" s="58">
        <v>5.768357132E9</v>
      </c>
      <c r="E56" s="58">
        <v>2367318.0</v>
      </c>
      <c r="F56" s="58">
        <v>77732.0</v>
      </c>
      <c r="G56" s="58">
        <v>77732.0</v>
      </c>
      <c r="H56" s="58">
        <v>0.0</v>
      </c>
      <c r="I56" s="58">
        <v>3211.0</v>
      </c>
    </row>
    <row r="57">
      <c r="A57" s="58">
        <v>32128.0</v>
      </c>
      <c r="B57" s="58">
        <v>512.0</v>
      </c>
      <c r="C57" s="58">
        <v>16.0</v>
      </c>
      <c r="D57" s="58">
        <v>5.77008106E9</v>
      </c>
      <c r="E57" s="58">
        <v>2430647.0</v>
      </c>
      <c r="F57" s="58">
        <v>80271.0</v>
      </c>
      <c r="G57" s="58">
        <v>80271.0</v>
      </c>
      <c r="H57" s="58">
        <v>0.0</v>
      </c>
      <c r="I57" s="58">
        <v>3570.0</v>
      </c>
    </row>
    <row r="58">
      <c r="A58" s="58">
        <v>32128.0</v>
      </c>
      <c r="B58" s="58">
        <v>512.0</v>
      </c>
      <c r="C58" s="58">
        <v>32.0</v>
      </c>
      <c r="D58" s="58">
        <v>5.77165114E9</v>
      </c>
      <c r="E58" s="58">
        <v>2398376.0</v>
      </c>
      <c r="F58" s="58">
        <v>87311.0</v>
      </c>
      <c r="G58" s="58">
        <v>87311.0</v>
      </c>
      <c r="H58" s="58">
        <v>0.0</v>
      </c>
      <c r="I58" s="58">
        <v>3450.0</v>
      </c>
    </row>
    <row r="59">
      <c r="A59" s="58">
        <v>32128.0</v>
      </c>
      <c r="B59" s="58">
        <v>512.0</v>
      </c>
      <c r="C59" s="58">
        <v>64.0</v>
      </c>
      <c r="D59" s="58">
        <v>5.772073052E9</v>
      </c>
      <c r="E59" s="58">
        <v>2443024.0</v>
      </c>
      <c r="F59" s="58">
        <v>91142.0</v>
      </c>
      <c r="G59" s="58">
        <v>91142.0</v>
      </c>
      <c r="H59" s="58">
        <v>0.0</v>
      </c>
      <c r="I59" s="58">
        <v>3248.0</v>
      </c>
    </row>
    <row r="60">
      <c r="A60" s="58">
        <v>50000.0</v>
      </c>
      <c r="B60" s="58">
        <v>512.0</v>
      </c>
      <c r="C60" s="58">
        <v>8.0</v>
      </c>
      <c r="D60" s="58">
        <v>8.973350976E9</v>
      </c>
      <c r="E60" s="58">
        <v>3680648.0</v>
      </c>
      <c r="F60" s="58">
        <v>113535.0</v>
      </c>
      <c r="G60" s="58">
        <v>113535.0</v>
      </c>
      <c r="H60" s="58">
        <v>0.0</v>
      </c>
      <c r="I60" s="58">
        <v>3214.0</v>
      </c>
    </row>
    <row r="61">
      <c r="A61" s="58">
        <v>50000.0</v>
      </c>
      <c r="B61" s="58">
        <v>512.0</v>
      </c>
      <c r="C61" s="58">
        <v>16.0</v>
      </c>
      <c r="D61" s="58">
        <v>8.970798356E9</v>
      </c>
      <c r="E61" s="58">
        <v>3647251.0</v>
      </c>
      <c r="F61" s="58">
        <v>120209.0</v>
      </c>
      <c r="G61" s="58">
        <v>120209.0</v>
      </c>
      <c r="H61" s="58">
        <v>0.0</v>
      </c>
      <c r="I61" s="58">
        <v>3104.0</v>
      </c>
    </row>
    <row r="62">
      <c r="A62" s="58">
        <v>50000.0</v>
      </c>
      <c r="B62" s="58">
        <v>512.0</v>
      </c>
      <c r="C62" s="58">
        <v>32.0</v>
      </c>
      <c r="D62" s="58">
        <v>8.99220805E9</v>
      </c>
      <c r="E62" s="58">
        <v>3903853.0</v>
      </c>
      <c r="F62" s="58">
        <v>122781.0</v>
      </c>
      <c r="G62" s="58">
        <v>122781.0</v>
      </c>
      <c r="H62" s="58">
        <v>0.0</v>
      </c>
      <c r="I62" s="58">
        <v>3319.0</v>
      </c>
    </row>
    <row r="63">
      <c r="A63" s="58">
        <v>50000.0</v>
      </c>
      <c r="B63" s="58">
        <v>512.0</v>
      </c>
      <c r="C63" s="58">
        <v>64.0</v>
      </c>
      <c r="D63" s="58">
        <v>8.971710561E9</v>
      </c>
      <c r="E63" s="58">
        <v>3672515.0</v>
      </c>
      <c r="F63" s="58">
        <v>101920.0</v>
      </c>
      <c r="G63" s="58">
        <v>101920.0</v>
      </c>
      <c r="H63" s="58">
        <v>0.0</v>
      </c>
      <c r="I63" s="58">
        <v>3105.0</v>
      </c>
    </row>
    <row r="64">
      <c r="A64" s="58">
        <v>100000.0</v>
      </c>
      <c r="B64" s="58">
        <v>512.0</v>
      </c>
      <c r="C64" s="58">
        <v>8.0</v>
      </c>
      <c r="D64" s="58">
        <v>1.7933590157E10</v>
      </c>
      <c r="E64" s="58">
        <v>7295594.0</v>
      </c>
      <c r="F64" s="58">
        <v>194728.0</v>
      </c>
      <c r="G64" s="58">
        <v>194728.0</v>
      </c>
      <c r="H64" s="58">
        <v>0.0</v>
      </c>
      <c r="I64" s="58">
        <v>3209.0</v>
      </c>
    </row>
    <row r="65">
      <c r="A65" s="58">
        <v>100000.0</v>
      </c>
      <c r="B65" s="58">
        <v>512.0</v>
      </c>
      <c r="C65" s="58">
        <v>16.0</v>
      </c>
      <c r="D65" s="58">
        <v>1.7931481912E10</v>
      </c>
      <c r="E65" s="58">
        <v>7513186.0</v>
      </c>
      <c r="F65" s="58">
        <v>190727.0</v>
      </c>
      <c r="G65" s="58">
        <v>190727.0</v>
      </c>
      <c r="H65" s="58">
        <v>0.0</v>
      </c>
      <c r="I65" s="58">
        <v>2743.0</v>
      </c>
    </row>
    <row r="66">
      <c r="A66" s="58">
        <v>100000.0</v>
      </c>
      <c r="B66" s="58">
        <v>512.0</v>
      </c>
      <c r="C66" s="58">
        <v>32.0</v>
      </c>
      <c r="D66" s="58">
        <v>1.7933874515E10</v>
      </c>
      <c r="E66" s="58">
        <v>7292399.0</v>
      </c>
      <c r="F66" s="58">
        <v>184731.0</v>
      </c>
      <c r="G66" s="58">
        <v>184731.0</v>
      </c>
      <c r="H66" s="58">
        <v>0.0</v>
      </c>
      <c r="I66" s="58">
        <v>2730.0</v>
      </c>
    </row>
    <row r="67">
      <c r="A67" s="58">
        <v>100000.0</v>
      </c>
      <c r="B67" s="58">
        <v>512.0</v>
      </c>
      <c r="C67" s="58">
        <v>64.0</v>
      </c>
      <c r="D67" s="58">
        <v>1.7931658603E10</v>
      </c>
      <c r="E67" s="58">
        <v>7252606.0</v>
      </c>
      <c r="F67" s="58">
        <v>188175.0</v>
      </c>
      <c r="G67" s="58">
        <v>188175.0</v>
      </c>
      <c r="H67" s="58">
        <v>0.0</v>
      </c>
      <c r="I67" s="58">
        <v>2836.0</v>
      </c>
    </row>
    <row r="68">
      <c r="A68" s="58">
        <v>300000.0</v>
      </c>
      <c r="B68" s="58">
        <v>512.0</v>
      </c>
      <c r="C68" s="58">
        <v>8.0</v>
      </c>
      <c r="D68" s="58">
        <v>5.3766550205E10</v>
      </c>
      <c r="E68" s="58">
        <v>2.1513924E7</v>
      </c>
      <c r="F68" s="58">
        <v>447860.0</v>
      </c>
      <c r="G68" s="58">
        <v>447860.0</v>
      </c>
      <c r="H68" s="58">
        <v>0.0</v>
      </c>
      <c r="I68" s="58">
        <v>2760.0</v>
      </c>
    </row>
    <row r="69">
      <c r="A69" s="58">
        <v>300000.0</v>
      </c>
      <c r="B69" s="58">
        <v>512.0</v>
      </c>
      <c r="C69" s="58">
        <v>16.0</v>
      </c>
      <c r="D69" s="58">
        <v>5.3768428786E10</v>
      </c>
      <c r="E69" s="58">
        <v>2.1308853E7</v>
      </c>
      <c r="F69" s="58">
        <v>443863.0</v>
      </c>
      <c r="G69" s="58">
        <v>443863.0</v>
      </c>
      <c r="H69" s="58">
        <v>0.0</v>
      </c>
      <c r="I69" s="58">
        <v>2889.0</v>
      </c>
    </row>
    <row r="70">
      <c r="A70" s="58">
        <v>300000.0</v>
      </c>
      <c r="B70" s="58">
        <v>512.0</v>
      </c>
      <c r="C70" s="58">
        <v>32.0</v>
      </c>
      <c r="D70" s="58">
        <v>5.3772198896E10</v>
      </c>
      <c r="E70" s="58">
        <v>2.1577157E7</v>
      </c>
      <c r="F70" s="58">
        <v>451966.0</v>
      </c>
      <c r="G70" s="58">
        <v>451966.0</v>
      </c>
      <c r="H70" s="58">
        <v>0.0</v>
      </c>
      <c r="I70" s="58">
        <v>2857.0</v>
      </c>
    </row>
    <row r="71">
      <c r="A71" s="58">
        <v>300000.0</v>
      </c>
      <c r="B71" s="58">
        <v>512.0</v>
      </c>
      <c r="C71" s="58">
        <v>64.0</v>
      </c>
      <c r="D71" s="58">
        <v>5.3777657121E10</v>
      </c>
      <c r="E71" s="58">
        <v>2.1830261E7</v>
      </c>
      <c r="F71" s="58">
        <v>445164.0</v>
      </c>
      <c r="G71" s="58">
        <v>445164.0</v>
      </c>
      <c r="H71" s="58">
        <v>0.0</v>
      </c>
      <c r="I71" s="58">
        <v>3049.0</v>
      </c>
    </row>
    <row r="72">
      <c r="A72" s="58">
        <v>500000.0</v>
      </c>
      <c r="B72" s="58">
        <v>512.0</v>
      </c>
      <c r="C72" s="58">
        <v>8.0</v>
      </c>
      <c r="D72" s="58">
        <v>8.966855795E10</v>
      </c>
      <c r="E72" s="58">
        <v>3.6548145E7</v>
      </c>
      <c r="F72" s="58">
        <v>756076.0</v>
      </c>
      <c r="G72" s="58">
        <v>756076.0</v>
      </c>
      <c r="H72" s="58">
        <v>0.0</v>
      </c>
      <c r="I72" s="58">
        <v>2928.0</v>
      </c>
    </row>
    <row r="73">
      <c r="A73" s="58">
        <v>500000.0</v>
      </c>
      <c r="B73" s="58">
        <v>512.0</v>
      </c>
      <c r="C73" s="58">
        <v>16.0</v>
      </c>
      <c r="D73" s="58">
        <v>8.9644888403E10</v>
      </c>
      <c r="E73" s="58">
        <v>3.5995216E7</v>
      </c>
      <c r="F73" s="58">
        <v>783404.0</v>
      </c>
      <c r="G73" s="58">
        <v>783404.0</v>
      </c>
      <c r="H73" s="58">
        <v>0.0</v>
      </c>
      <c r="I73" s="58">
        <v>3273.0</v>
      </c>
    </row>
    <row r="74">
      <c r="A74" s="58">
        <v>500000.0</v>
      </c>
      <c r="B74" s="58">
        <v>512.0</v>
      </c>
      <c r="C74" s="58">
        <v>32.0</v>
      </c>
      <c r="D74" s="58">
        <v>8.969273448E10</v>
      </c>
      <c r="E74" s="58">
        <v>3.702181E7</v>
      </c>
      <c r="F74" s="58">
        <v>790311.0</v>
      </c>
      <c r="G74" s="58">
        <v>790311.0</v>
      </c>
      <c r="H74" s="58">
        <v>0.0</v>
      </c>
      <c r="I74" s="58">
        <v>3102.0</v>
      </c>
    </row>
    <row r="75">
      <c r="A75" s="58">
        <v>500000.0</v>
      </c>
      <c r="B75" s="58">
        <v>512.0</v>
      </c>
      <c r="C75" s="58">
        <v>64.0</v>
      </c>
      <c r="D75" s="58">
        <v>8.9655507374E10</v>
      </c>
      <c r="E75" s="58">
        <v>3.6292402E7</v>
      </c>
      <c r="F75" s="58">
        <v>751450.0</v>
      </c>
      <c r="G75" s="58">
        <v>751450.0</v>
      </c>
      <c r="H75" s="58">
        <v>0.0</v>
      </c>
      <c r="I75" s="58">
        <v>2975.0</v>
      </c>
    </row>
    <row r="76">
      <c r="A76" s="20" t="s">
        <v>114</v>
      </c>
      <c r="B76" s="20" t="s">
        <v>92</v>
      </c>
      <c r="C76" s="20" t="s">
        <v>93</v>
      </c>
      <c r="D76" s="20" t="s">
        <v>115</v>
      </c>
      <c r="E76" s="20"/>
      <c r="F76" s="20"/>
      <c r="G76" s="20"/>
      <c r="H76" s="20"/>
      <c r="I76" s="20"/>
    </row>
    <row r="77">
      <c r="A77" s="20" t="s">
        <v>107</v>
      </c>
      <c r="B77" s="20" t="s">
        <v>99</v>
      </c>
      <c r="C77" s="20" t="s">
        <v>100</v>
      </c>
      <c r="D77" s="20" t="s">
        <v>109</v>
      </c>
      <c r="E77" s="20" t="s">
        <v>110</v>
      </c>
      <c r="F77" s="20" t="s">
        <v>111</v>
      </c>
      <c r="G77" s="20" t="s">
        <v>112</v>
      </c>
      <c r="H77" s="20" t="s">
        <v>113</v>
      </c>
      <c r="I77" s="20" t="s">
        <v>116</v>
      </c>
      <c r="J77" s="57" t="s">
        <v>101</v>
      </c>
    </row>
    <row r="78">
      <c r="A78" s="20">
        <v>10000.0</v>
      </c>
      <c r="B78" s="20">
        <v>128.0</v>
      </c>
      <c r="C78" s="20">
        <v>8.0</v>
      </c>
      <c r="D78" s="20">
        <v>4.57757715E8</v>
      </c>
      <c r="E78" s="20">
        <v>227159.0</v>
      </c>
      <c r="F78" s="20">
        <v>17622.0</v>
      </c>
      <c r="G78" s="20">
        <v>17622.0</v>
      </c>
      <c r="H78" s="20">
        <v>173257.0</v>
      </c>
      <c r="I78" s="20">
        <v>518.0</v>
      </c>
      <c r="J78" s="58">
        <v>515.0</v>
      </c>
      <c r="K78" s="29">
        <f t="shared" ref="K78:K101" si="2">J78/I78</f>
        <v>0.9942084942</v>
      </c>
    </row>
    <row r="79">
      <c r="A79" s="20">
        <v>32128.0</v>
      </c>
      <c r="B79" s="20">
        <v>128.0</v>
      </c>
      <c r="C79" s="20">
        <v>8.0</v>
      </c>
      <c r="D79" s="20">
        <v>1.448716805E9</v>
      </c>
      <c r="E79" s="20">
        <v>619485.0</v>
      </c>
      <c r="F79" s="20">
        <v>24776.0</v>
      </c>
      <c r="G79" s="20">
        <v>24776.0</v>
      </c>
      <c r="H79" s="20">
        <v>173560.0</v>
      </c>
      <c r="I79" s="20">
        <v>748.0</v>
      </c>
      <c r="J79" s="58">
        <v>813.0</v>
      </c>
      <c r="K79" s="29">
        <f t="shared" si="2"/>
        <v>1.086898396</v>
      </c>
    </row>
    <row r="80">
      <c r="A80" s="20">
        <v>50000.0</v>
      </c>
      <c r="B80" s="20">
        <v>128.0</v>
      </c>
      <c r="C80" s="20">
        <v>8.0</v>
      </c>
      <c r="D80" s="20">
        <v>2.25008847E9</v>
      </c>
      <c r="E80" s="20">
        <v>1029984.0</v>
      </c>
      <c r="F80" s="20">
        <v>37982.0</v>
      </c>
      <c r="G80" s="20">
        <v>37982.0</v>
      </c>
      <c r="H80" s="20">
        <v>173557.0</v>
      </c>
      <c r="I80" s="20">
        <v>758.0</v>
      </c>
      <c r="J80" s="58">
        <v>749.0</v>
      </c>
      <c r="K80" s="29">
        <f t="shared" si="2"/>
        <v>0.9881266491</v>
      </c>
    </row>
    <row r="81">
      <c r="A81" s="20">
        <v>100000.0</v>
      </c>
      <c r="B81" s="20">
        <v>128.0</v>
      </c>
      <c r="C81" s="20">
        <v>8.0</v>
      </c>
      <c r="D81" s="20">
        <v>4.487761793E9</v>
      </c>
      <c r="E81" s="20">
        <v>1865309.0</v>
      </c>
      <c r="F81" s="20">
        <v>47574.0</v>
      </c>
      <c r="G81" s="20">
        <v>47574.0</v>
      </c>
      <c r="H81" s="20">
        <v>173321.0</v>
      </c>
      <c r="I81" s="20">
        <v>772.0</v>
      </c>
      <c r="J81" s="58">
        <v>877.0</v>
      </c>
      <c r="K81" s="29">
        <f t="shared" si="2"/>
        <v>1.136010363</v>
      </c>
    </row>
    <row r="82">
      <c r="A82" s="20">
        <v>300000.0</v>
      </c>
      <c r="B82" s="20">
        <v>128.0</v>
      </c>
      <c r="C82" s="20">
        <v>8.0</v>
      </c>
      <c r="D82" s="20">
        <v>1.3447659999E10</v>
      </c>
      <c r="E82" s="20">
        <v>5517096.0</v>
      </c>
      <c r="F82" s="20">
        <v>129384.0</v>
      </c>
      <c r="G82" s="20">
        <v>129384.0</v>
      </c>
      <c r="H82" s="20">
        <v>173259.0</v>
      </c>
      <c r="I82" s="20">
        <v>888.0</v>
      </c>
      <c r="J82" s="58">
        <v>762.0</v>
      </c>
      <c r="K82" s="29">
        <f t="shared" si="2"/>
        <v>0.8581081081</v>
      </c>
    </row>
    <row r="83">
      <c r="A83" s="20">
        <v>500000.0</v>
      </c>
      <c r="B83" s="20">
        <v>128.0</v>
      </c>
      <c r="C83" s="20">
        <v>8.0</v>
      </c>
      <c r="D83" s="20">
        <v>2.2403540598E10</v>
      </c>
      <c r="E83" s="20">
        <v>9089152.0</v>
      </c>
      <c r="F83" s="20">
        <v>204354.0</v>
      </c>
      <c r="G83" s="20">
        <v>204354.0</v>
      </c>
      <c r="H83" s="20">
        <v>173043.0</v>
      </c>
      <c r="I83" s="20">
        <v>769.0</v>
      </c>
      <c r="J83" s="58">
        <v>790.0</v>
      </c>
      <c r="K83" s="29">
        <f t="shared" si="2"/>
        <v>1.027308192</v>
      </c>
    </row>
    <row r="84">
      <c r="A84" s="20">
        <v>10000.0</v>
      </c>
      <c r="B84" s="20">
        <v>128.0</v>
      </c>
      <c r="C84" s="20">
        <v>16.0</v>
      </c>
      <c r="D84" s="20">
        <v>4.57296056E8</v>
      </c>
      <c r="E84" s="20">
        <v>222309.0</v>
      </c>
      <c r="F84" s="20">
        <v>14185.0</v>
      </c>
      <c r="G84" s="20">
        <v>14185.0</v>
      </c>
      <c r="H84" s="20">
        <v>161342.0</v>
      </c>
      <c r="I84" s="20">
        <v>361.0</v>
      </c>
      <c r="J84" s="58">
        <v>666.0</v>
      </c>
      <c r="K84" s="29">
        <f t="shared" si="2"/>
        <v>1.844875346</v>
      </c>
    </row>
    <row r="85">
      <c r="A85" s="20">
        <v>32128.0</v>
      </c>
      <c r="B85" s="20">
        <v>128.0</v>
      </c>
      <c r="C85" s="20">
        <v>16.0</v>
      </c>
      <c r="D85" s="20">
        <v>1.449131116E9</v>
      </c>
      <c r="E85" s="20">
        <v>652979.0</v>
      </c>
      <c r="F85" s="20">
        <v>27275.0</v>
      </c>
      <c r="G85" s="20">
        <v>27275.0</v>
      </c>
      <c r="H85" s="20">
        <v>161488.0</v>
      </c>
      <c r="I85" s="20">
        <v>529.0</v>
      </c>
      <c r="J85" s="58">
        <v>1061.0</v>
      </c>
      <c r="K85" s="29">
        <f t="shared" si="2"/>
        <v>2.005671078</v>
      </c>
    </row>
    <row r="86">
      <c r="A86" s="20">
        <v>50000.0</v>
      </c>
      <c r="B86" s="20">
        <v>128.0</v>
      </c>
      <c r="C86" s="20">
        <v>16.0</v>
      </c>
      <c r="D86" s="20">
        <v>2.248526441E9</v>
      </c>
      <c r="E86" s="20">
        <v>953379.0</v>
      </c>
      <c r="F86" s="20">
        <v>32466.0</v>
      </c>
      <c r="G86" s="20">
        <v>32466.0</v>
      </c>
      <c r="H86" s="20">
        <v>161479.0</v>
      </c>
      <c r="I86" s="20">
        <v>624.0</v>
      </c>
      <c r="J86" s="58">
        <v>857.0</v>
      </c>
      <c r="K86" s="29">
        <f t="shared" si="2"/>
        <v>1.373397436</v>
      </c>
    </row>
    <row r="87">
      <c r="A87" s="20">
        <v>100000.0</v>
      </c>
      <c r="B87" s="20">
        <v>128.0</v>
      </c>
      <c r="C87" s="20">
        <v>16.0</v>
      </c>
      <c r="D87" s="20">
        <v>4.489345026E9</v>
      </c>
      <c r="E87" s="20">
        <v>1912321.0</v>
      </c>
      <c r="F87" s="20">
        <v>58712.0</v>
      </c>
      <c r="G87" s="20">
        <v>58712.0</v>
      </c>
      <c r="H87" s="20">
        <v>161437.0</v>
      </c>
      <c r="I87" s="20">
        <v>634.0</v>
      </c>
      <c r="J87" s="58">
        <v>766.0</v>
      </c>
      <c r="K87" s="29">
        <f t="shared" si="2"/>
        <v>1.208201893</v>
      </c>
    </row>
    <row r="88">
      <c r="A88" s="20">
        <v>300000.0</v>
      </c>
      <c r="B88" s="20">
        <v>128.0</v>
      </c>
      <c r="C88" s="20">
        <v>16.0</v>
      </c>
      <c r="D88" s="20">
        <v>1.3450674291E10</v>
      </c>
      <c r="E88" s="20">
        <v>5577906.0</v>
      </c>
      <c r="F88" s="20">
        <v>137454.0</v>
      </c>
      <c r="G88" s="20">
        <v>137454.0</v>
      </c>
      <c r="H88" s="20">
        <v>161484.0</v>
      </c>
      <c r="I88" s="20">
        <v>568.0</v>
      </c>
      <c r="J88" s="58">
        <v>758.0</v>
      </c>
      <c r="K88" s="29">
        <f t="shared" si="2"/>
        <v>1.334507042</v>
      </c>
    </row>
    <row r="89">
      <c r="A89" s="20">
        <v>500000.0</v>
      </c>
      <c r="B89" s="20">
        <v>128.0</v>
      </c>
      <c r="C89" s="20">
        <v>16.0</v>
      </c>
      <c r="D89" s="20">
        <v>2.2401132047E10</v>
      </c>
      <c r="E89" s="20">
        <v>9059088.0</v>
      </c>
      <c r="F89" s="20">
        <v>207288.0</v>
      </c>
      <c r="G89" s="20">
        <v>207288.0</v>
      </c>
      <c r="H89" s="20">
        <v>161428.0</v>
      </c>
      <c r="I89" s="20">
        <v>558.0</v>
      </c>
      <c r="J89" s="58">
        <v>750.0</v>
      </c>
      <c r="K89" s="29">
        <f t="shared" si="2"/>
        <v>1.344086022</v>
      </c>
    </row>
    <row r="90">
      <c r="A90" s="20">
        <v>10000.0</v>
      </c>
      <c r="B90" s="20">
        <v>128.0</v>
      </c>
      <c r="C90" s="20">
        <v>32.0</v>
      </c>
      <c r="D90" s="20">
        <v>4.57445361E8</v>
      </c>
      <c r="E90" s="20">
        <v>230976.0</v>
      </c>
      <c r="F90" s="20">
        <v>16000.0</v>
      </c>
      <c r="G90" s="20">
        <v>16000.0</v>
      </c>
      <c r="H90" s="20">
        <v>138370.0</v>
      </c>
      <c r="I90" s="20">
        <v>363.0</v>
      </c>
      <c r="J90" s="58">
        <v>751.0</v>
      </c>
      <c r="K90" s="29">
        <f t="shared" si="2"/>
        <v>2.068870523</v>
      </c>
    </row>
    <row r="91">
      <c r="A91" s="20">
        <v>32128.0</v>
      </c>
      <c r="B91" s="20">
        <v>128.0</v>
      </c>
      <c r="C91" s="20">
        <v>32.0</v>
      </c>
      <c r="D91" s="20">
        <v>1.448886392E9</v>
      </c>
      <c r="E91" s="20">
        <v>640713.0</v>
      </c>
      <c r="F91" s="20">
        <v>28883.0</v>
      </c>
      <c r="G91" s="20">
        <v>28883.0</v>
      </c>
      <c r="H91" s="20">
        <v>138337.0</v>
      </c>
      <c r="I91" s="20">
        <v>460.0</v>
      </c>
      <c r="J91" s="58">
        <v>810.0</v>
      </c>
      <c r="K91" s="29">
        <f t="shared" si="2"/>
        <v>1.760869565</v>
      </c>
    </row>
    <row r="92">
      <c r="A92" s="20">
        <v>50000.0</v>
      </c>
      <c r="B92" s="20">
        <v>128.0</v>
      </c>
      <c r="C92" s="20">
        <v>32.0</v>
      </c>
      <c r="D92" s="20">
        <v>2.249125205E9</v>
      </c>
      <c r="E92" s="20">
        <v>1026949.0</v>
      </c>
      <c r="F92" s="20">
        <v>35512.0</v>
      </c>
      <c r="G92" s="20">
        <v>35512.0</v>
      </c>
      <c r="H92" s="20">
        <v>138467.0</v>
      </c>
      <c r="I92" s="20">
        <v>509.0</v>
      </c>
      <c r="J92" s="58">
        <v>903.0</v>
      </c>
      <c r="K92" s="29">
        <f t="shared" si="2"/>
        <v>1.774066798</v>
      </c>
    </row>
    <row r="93">
      <c r="A93" s="20">
        <v>100000.0</v>
      </c>
      <c r="B93" s="20">
        <v>128.0</v>
      </c>
      <c r="C93" s="20">
        <v>32.0</v>
      </c>
      <c r="D93" s="20">
        <v>4.488189085E9</v>
      </c>
      <c r="E93" s="20">
        <v>1887261.0</v>
      </c>
      <c r="F93" s="20">
        <v>58577.0</v>
      </c>
      <c r="G93" s="20">
        <v>58577.0</v>
      </c>
      <c r="H93" s="20">
        <v>138322.0</v>
      </c>
      <c r="I93" s="20">
        <v>507.0</v>
      </c>
      <c r="J93" s="58">
        <v>751.0</v>
      </c>
      <c r="K93" s="29">
        <f t="shared" si="2"/>
        <v>1.481262327</v>
      </c>
    </row>
    <row r="94">
      <c r="A94" s="20">
        <v>300000.0</v>
      </c>
      <c r="B94" s="20">
        <v>128.0</v>
      </c>
      <c r="C94" s="20">
        <v>32.0</v>
      </c>
      <c r="D94" s="20">
        <v>1.3445966357E10</v>
      </c>
      <c r="E94" s="20">
        <v>5524198.0</v>
      </c>
      <c r="F94" s="20">
        <v>142802.0</v>
      </c>
      <c r="G94" s="20">
        <v>142802.0</v>
      </c>
      <c r="H94" s="20">
        <v>138300.0</v>
      </c>
      <c r="I94" s="20">
        <v>530.0</v>
      </c>
      <c r="J94" s="58">
        <v>773.0</v>
      </c>
      <c r="K94" s="29">
        <f t="shared" si="2"/>
        <v>1.458490566</v>
      </c>
    </row>
    <row r="95">
      <c r="A95" s="20">
        <v>500000.0</v>
      </c>
      <c r="B95" s="20">
        <v>128.0</v>
      </c>
      <c r="C95" s="20">
        <v>32.0</v>
      </c>
      <c r="D95" s="20">
        <v>2.2404587741E10</v>
      </c>
      <c r="E95" s="20">
        <v>9071735.0</v>
      </c>
      <c r="F95" s="20">
        <v>212359.0</v>
      </c>
      <c r="G95" s="20">
        <v>212359.0</v>
      </c>
      <c r="H95" s="20">
        <v>138311.0</v>
      </c>
      <c r="I95" s="20">
        <v>532.0</v>
      </c>
      <c r="J95" s="58">
        <v>787.0</v>
      </c>
      <c r="K95" s="29">
        <f t="shared" si="2"/>
        <v>1.479323308</v>
      </c>
    </row>
    <row r="96">
      <c r="A96" s="20">
        <v>10000.0</v>
      </c>
      <c r="B96" s="20">
        <v>128.0</v>
      </c>
      <c r="C96" s="20">
        <v>64.0</v>
      </c>
      <c r="D96" s="20">
        <v>4.56653686E8</v>
      </c>
      <c r="E96" s="20">
        <v>228282.0</v>
      </c>
      <c r="F96" s="20">
        <v>16124.0</v>
      </c>
      <c r="G96" s="20">
        <v>16124.0</v>
      </c>
      <c r="H96" s="20">
        <v>92501.0</v>
      </c>
      <c r="I96" s="20">
        <v>360.0</v>
      </c>
      <c r="J96" s="58">
        <v>873.0</v>
      </c>
      <c r="K96" s="29">
        <f t="shared" si="2"/>
        <v>2.425</v>
      </c>
    </row>
    <row r="97">
      <c r="A97" s="20">
        <v>32128.0</v>
      </c>
      <c r="B97" s="20">
        <v>128.0</v>
      </c>
      <c r="C97" s="20">
        <v>64.0</v>
      </c>
      <c r="D97" s="20">
        <v>1.447200814E9</v>
      </c>
      <c r="E97" s="20">
        <v>632670.0</v>
      </c>
      <c r="F97" s="20">
        <v>24818.0</v>
      </c>
      <c r="G97" s="20">
        <v>24818.0</v>
      </c>
      <c r="H97" s="20">
        <v>92280.0</v>
      </c>
      <c r="I97" s="20">
        <v>572.0</v>
      </c>
      <c r="J97" s="58">
        <v>723.0</v>
      </c>
      <c r="K97" s="29">
        <f t="shared" si="2"/>
        <v>1.263986014</v>
      </c>
    </row>
    <row r="98">
      <c r="A98" s="20">
        <v>50000.0</v>
      </c>
      <c r="B98" s="20">
        <v>128.0</v>
      </c>
      <c r="C98" s="20">
        <v>64.0</v>
      </c>
      <c r="D98" s="20">
        <v>2.247339579E9</v>
      </c>
      <c r="E98" s="20">
        <v>961018.0</v>
      </c>
      <c r="F98" s="20">
        <v>28559.0</v>
      </c>
      <c r="G98" s="20">
        <v>28559.0</v>
      </c>
      <c r="H98" s="20">
        <v>92250.0</v>
      </c>
      <c r="I98" s="20">
        <v>587.0</v>
      </c>
      <c r="J98" s="58">
        <v>705.0</v>
      </c>
      <c r="K98" s="29">
        <f t="shared" si="2"/>
        <v>1.201022147</v>
      </c>
    </row>
    <row r="99">
      <c r="A99" s="20">
        <v>100000.0</v>
      </c>
      <c r="B99" s="20">
        <v>128.0</v>
      </c>
      <c r="C99" s="20">
        <v>64.0</v>
      </c>
      <c r="D99" s="20">
        <v>4.484636211E9</v>
      </c>
      <c r="E99" s="20">
        <v>1848638.0</v>
      </c>
      <c r="F99" s="20">
        <v>43813.0</v>
      </c>
      <c r="G99" s="20">
        <v>43813.0</v>
      </c>
      <c r="H99" s="20">
        <v>92246.0</v>
      </c>
      <c r="I99" s="20">
        <v>592.0</v>
      </c>
      <c r="J99" s="58">
        <v>732.0</v>
      </c>
      <c r="K99" s="29">
        <f t="shared" si="2"/>
        <v>1.236486486</v>
      </c>
    </row>
    <row r="100">
      <c r="A100" s="20">
        <v>300000.0</v>
      </c>
      <c r="B100" s="20">
        <v>128.0</v>
      </c>
      <c r="C100" s="20">
        <v>64.0</v>
      </c>
      <c r="D100" s="20">
        <v>1.3443422072E10</v>
      </c>
      <c r="E100" s="20">
        <v>5508135.0</v>
      </c>
      <c r="F100" s="20">
        <v>146267.0</v>
      </c>
      <c r="G100" s="20">
        <v>146267.0</v>
      </c>
      <c r="H100" s="20">
        <v>92295.0</v>
      </c>
      <c r="I100" s="20">
        <v>724.0</v>
      </c>
      <c r="J100" s="58">
        <v>992.0</v>
      </c>
      <c r="K100" s="29">
        <f t="shared" si="2"/>
        <v>1.370165746</v>
      </c>
    </row>
    <row r="101">
      <c r="A101" s="20">
        <v>500000.0</v>
      </c>
      <c r="B101" s="20">
        <v>128.0</v>
      </c>
      <c r="C101" s="20">
        <v>64.0</v>
      </c>
      <c r="D101" s="20">
        <v>2.2401392944E10</v>
      </c>
      <c r="E101" s="20">
        <v>9054329.0</v>
      </c>
      <c r="F101" s="20">
        <v>215055.0</v>
      </c>
      <c r="G101" s="20">
        <v>215055.0</v>
      </c>
      <c r="H101" s="20">
        <v>92258.0</v>
      </c>
      <c r="I101" s="20">
        <v>676.0</v>
      </c>
      <c r="J101" s="58">
        <v>754.0</v>
      </c>
      <c r="K101" s="29">
        <f t="shared" si="2"/>
        <v>1.115384615</v>
      </c>
    </row>
    <row r="102">
      <c r="A102" s="20" t="s">
        <v>107</v>
      </c>
      <c r="B102" s="20" t="s">
        <v>99</v>
      </c>
      <c r="C102" s="20" t="s">
        <v>100</v>
      </c>
      <c r="D102" s="20" t="s">
        <v>109</v>
      </c>
      <c r="E102" s="20" t="s">
        <v>110</v>
      </c>
      <c r="F102" s="20" t="s">
        <v>111</v>
      </c>
      <c r="G102" s="20" t="s">
        <v>112</v>
      </c>
      <c r="H102" s="20" t="s">
        <v>113</v>
      </c>
      <c r="I102" s="20" t="s">
        <v>116</v>
      </c>
      <c r="J102" s="57" t="s">
        <v>101</v>
      </c>
    </row>
    <row r="103">
      <c r="A103" s="20">
        <v>10000.0</v>
      </c>
      <c r="B103" s="20">
        <v>256.0</v>
      </c>
      <c r="C103" s="20">
        <v>8.0</v>
      </c>
      <c r="D103" s="20">
        <v>9.11502992E8</v>
      </c>
      <c r="E103" s="20">
        <v>415926.0</v>
      </c>
      <c r="F103" s="20">
        <v>24623.0</v>
      </c>
      <c r="G103" s="20">
        <v>24623.0</v>
      </c>
      <c r="H103" s="20">
        <v>358177.0</v>
      </c>
      <c r="I103" s="20">
        <v>1316.0</v>
      </c>
      <c r="J103" s="58">
        <v>1209.0</v>
      </c>
    </row>
    <row r="104">
      <c r="A104" s="20">
        <v>10000.0</v>
      </c>
      <c r="B104" s="20">
        <v>256.0</v>
      </c>
      <c r="C104" s="20">
        <v>16.0</v>
      </c>
      <c r="D104" s="20">
        <v>9.11221531E8</v>
      </c>
      <c r="E104" s="20">
        <v>417166.0</v>
      </c>
      <c r="F104" s="20">
        <v>18115.0</v>
      </c>
      <c r="G104" s="20">
        <v>18115.0</v>
      </c>
      <c r="H104" s="20">
        <v>346003.0</v>
      </c>
      <c r="I104" s="20">
        <v>945.0</v>
      </c>
      <c r="J104" s="58">
        <v>852.0</v>
      </c>
    </row>
    <row r="105">
      <c r="A105" s="20">
        <v>10000.0</v>
      </c>
      <c r="B105" s="20">
        <v>256.0</v>
      </c>
      <c r="C105" s="20">
        <v>32.0</v>
      </c>
      <c r="D105" s="20">
        <v>9.10537633E8</v>
      </c>
      <c r="E105" s="20">
        <v>407078.0</v>
      </c>
      <c r="F105" s="20">
        <v>19081.0</v>
      </c>
      <c r="G105" s="20">
        <v>19081.0</v>
      </c>
      <c r="H105" s="20">
        <v>322757.0</v>
      </c>
      <c r="I105" s="20">
        <v>735.0</v>
      </c>
      <c r="J105" s="58">
        <v>1194.0</v>
      </c>
    </row>
    <row r="106">
      <c r="A106" s="20">
        <v>10000.0</v>
      </c>
      <c r="B106" s="20">
        <v>256.0</v>
      </c>
      <c r="C106" s="20">
        <v>64.0</v>
      </c>
      <c r="D106" s="20">
        <v>9.09907075E8</v>
      </c>
      <c r="E106" s="20">
        <v>407140.0</v>
      </c>
      <c r="F106" s="20">
        <v>18910.0</v>
      </c>
      <c r="G106" s="20">
        <v>18910.0</v>
      </c>
      <c r="H106" s="20">
        <v>276759.0</v>
      </c>
      <c r="I106" s="20">
        <v>780.0</v>
      </c>
      <c r="J106" s="58">
        <v>1234.0</v>
      </c>
    </row>
    <row r="107">
      <c r="A107" s="20">
        <v>32128.0</v>
      </c>
      <c r="B107" s="20">
        <v>256.0</v>
      </c>
      <c r="C107" s="20">
        <v>8.0</v>
      </c>
      <c r="D107" s="20">
        <v>2.891793608E9</v>
      </c>
      <c r="E107" s="20">
        <v>1188975.0</v>
      </c>
      <c r="F107" s="20">
        <v>30711.0</v>
      </c>
      <c r="G107" s="20">
        <v>30711.0</v>
      </c>
      <c r="H107" s="20">
        <v>358052.0</v>
      </c>
      <c r="I107" s="20">
        <v>1432.0</v>
      </c>
      <c r="J107" s="58">
        <v>1343.0</v>
      </c>
    </row>
    <row r="108">
      <c r="A108" s="20">
        <v>32128.0</v>
      </c>
      <c r="B108" s="20">
        <v>256.0</v>
      </c>
      <c r="C108" s="20">
        <v>16.0</v>
      </c>
      <c r="D108" s="20">
        <v>2.891815725E9</v>
      </c>
      <c r="E108" s="20">
        <v>1194254.0</v>
      </c>
      <c r="F108" s="20">
        <v>31682.0</v>
      </c>
      <c r="G108" s="20">
        <v>31682.0</v>
      </c>
      <c r="H108" s="20">
        <v>346259.0</v>
      </c>
      <c r="I108" s="20">
        <v>1179.0</v>
      </c>
      <c r="J108" s="58">
        <v>1577.0</v>
      </c>
    </row>
    <row r="109">
      <c r="A109" s="20">
        <v>32128.0</v>
      </c>
      <c r="B109" s="20">
        <v>256.0</v>
      </c>
      <c r="C109" s="20">
        <v>32.0</v>
      </c>
      <c r="D109" s="20">
        <v>2.893464918E9</v>
      </c>
      <c r="E109" s="20">
        <v>1194302.0</v>
      </c>
      <c r="F109" s="20">
        <v>39048.0</v>
      </c>
      <c r="G109" s="20">
        <v>39048.0</v>
      </c>
      <c r="H109" s="20">
        <v>322666.0</v>
      </c>
      <c r="I109" s="20">
        <v>827.0</v>
      </c>
      <c r="J109" s="58">
        <v>1373.0</v>
      </c>
    </row>
    <row r="110">
      <c r="A110" s="20">
        <v>32128.0</v>
      </c>
      <c r="B110" s="20">
        <v>256.0</v>
      </c>
      <c r="C110" s="20">
        <v>64.0</v>
      </c>
      <c r="D110" s="20">
        <v>2.890708633E9</v>
      </c>
      <c r="E110" s="20">
        <v>1185128.0</v>
      </c>
      <c r="F110" s="20">
        <v>34288.0</v>
      </c>
      <c r="G110" s="20">
        <v>34288.0</v>
      </c>
      <c r="H110" s="20">
        <v>276609.0</v>
      </c>
      <c r="I110" s="20">
        <v>908.0</v>
      </c>
      <c r="J110" s="58">
        <v>1469.0</v>
      </c>
    </row>
    <row r="111">
      <c r="A111" s="20">
        <v>50000.0</v>
      </c>
      <c r="B111" s="20">
        <v>256.0</v>
      </c>
      <c r="C111" s="20">
        <v>8.0</v>
      </c>
      <c r="D111" s="20">
        <v>4.490477973E9</v>
      </c>
      <c r="E111" s="20">
        <v>1809428.0</v>
      </c>
      <c r="F111" s="20">
        <v>37067.0</v>
      </c>
      <c r="G111" s="20">
        <v>37067.0</v>
      </c>
      <c r="H111" s="20">
        <v>357851.0</v>
      </c>
      <c r="I111" s="20">
        <v>1539.0</v>
      </c>
      <c r="J111" s="58">
        <v>1536.0</v>
      </c>
    </row>
    <row r="112">
      <c r="A112" s="20">
        <v>50000.0</v>
      </c>
      <c r="B112" s="20">
        <v>256.0</v>
      </c>
      <c r="C112" s="20">
        <v>16.0</v>
      </c>
      <c r="D112" s="20">
        <v>4.491985495E9</v>
      </c>
      <c r="E112" s="20">
        <v>1809489.0</v>
      </c>
      <c r="F112" s="20">
        <v>42146.0</v>
      </c>
      <c r="G112" s="20">
        <v>42146.0</v>
      </c>
      <c r="H112" s="20">
        <v>346012.0</v>
      </c>
      <c r="I112" s="20">
        <v>978.0</v>
      </c>
      <c r="J112" s="58">
        <v>1377.0</v>
      </c>
    </row>
    <row r="113">
      <c r="A113" s="20">
        <v>50000.0</v>
      </c>
      <c r="B113" s="20">
        <v>256.0</v>
      </c>
      <c r="C113" s="20">
        <v>32.0</v>
      </c>
      <c r="D113" s="20">
        <v>4.491235616E9</v>
      </c>
      <c r="E113" s="20">
        <v>1810849.0</v>
      </c>
      <c r="F113" s="20">
        <v>43307.0</v>
      </c>
      <c r="G113" s="20">
        <v>43307.0</v>
      </c>
      <c r="H113" s="20">
        <v>322746.0</v>
      </c>
      <c r="I113" s="20">
        <v>831.0</v>
      </c>
      <c r="J113" s="58">
        <v>1392.0</v>
      </c>
    </row>
    <row r="114">
      <c r="A114" s="20">
        <v>50000.0</v>
      </c>
      <c r="B114" s="20">
        <v>256.0</v>
      </c>
      <c r="C114" s="20">
        <v>64.0</v>
      </c>
      <c r="D114" s="20">
        <v>4.494009706E9</v>
      </c>
      <c r="E114" s="20">
        <v>1835371.0</v>
      </c>
      <c r="F114" s="20">
        <v>70625.0</v>
      </c>
      <c r="G114" s="20">
        <v>70625.0</v>
      </c>
      <c r="H114" s="20">
        <v>276601.0</v>
      </c>
      <c r="I114" s="20">
        <v>927.0</v>
      </c>
      <c r="J114" s="58">
        <v>1406.0</v>
      </c>
    </row>
    <row r="115">
      <c r="A115" s="20">
        <v>100000.0</v>
      </c>
      <c r="B115" s="20">
        <v>256.0</v>
      </c>
      <c r="C115" s="20">
        <v>8.0</v>
      </c>
      <c r="D115" s="20">
        <v>8.973988071E9</v>
      </c>
      <c r="E115" s="20">
        <v>3618498.0</v>
      </c>
      <c r="F115" s="20">
        <v>94541.0</v>
      </c>
      <c r="G115" s="20">
        <v>94541.0</v>
      </c>
      <c r="H115" s="20">
        <v>357719.0</v>
      </c>
      <c r="I115" s="20">
        <v>1473.0</v>
      </c>
      <c r="J115" s="58">
        <v>1610.0</v>
      </c>
    </row>
    <row r="116">
      <c r="A116" s="20">
        <v>100000.0</v>
      </c>
      <c r="B116" s="20">
        <v>256.0</v>
      </c>
      <c r="C116" s="20">
        <v>16.0</v>
      </c>
      <c r="D116" s="20">
        <v>8.969073458E9</v>
      </c>
      <c r="E116" s="20">
        <v>3581933.0</v>
      </c>
      <c r="F116" s="20">
        <v>91785.0</v>
      </c>
      <c r="G116" s="20">
        <v>91785.0</v>
      </c>
      <c r="H116" s="20">
        <v>346177.0</v>
      </c>
      <c r="I116" s="20">
        <v>994.0</v>
      </c>
      <c r="J116" s="58">
        <v>1650.0</v>
      </c>
    </row>
    <row r="117">
      <c r="A117" s="20">
        <v>100000.0</v>
      </c>
      <c r="B117" s="20">
        <v>256.0</v>
      </c>
      <c r="C117" s="20">
        <v>32.0</v>
      </c>
      <c r="D117" s="20">
        <v>8.973933517E9</v>
      </c>
      <c r="E117" s="20">
        <v>3610777.0</v>
      </c>
      <c r="F117" s="20">
        <v>104224.0</v>
      </c>
      <c r="G117" s="20">
        <v>104224.0</v>
      </c>
      <c r="H117" s="20">
        <v>322682.0</v>
      </c>
      <c r="I117" s="20">
        <v>850.0</v>
      </c>
      <c r="J117" s="58">
        <v>1700.0</v>
      </c>
    </row>
    <row r="118">
      <c r="A118" s="20">
        <v>100000.0</v>
      </c>
      <c r="B118" s="20">
        <v>256.0</v>
      </c>
      <c r="C118" s="20">
        <v>64.0</v>
      </c>
      <c r="D118" s="20">
        <v>8.968113702E9</v>
      </c>
      <c r="E118" s="20">
        <v>3588668.0</v>
      </c>
      <c r="F118" s="20">
        <v>83586.0</v>
      </c>
      <c r="G118" s="20">
        <v>83586.0</v>
      </c>
      <c r="H118" s="20">
        <v>276566.0</v>
      </c>
      <c r="I118" s="20">
        <v>968.0</v>
      </c>
      <c r="J118" s="58">
        <v>1594.0</v>
      </c>
    </row>
    <row r="119">
      <c r="A119" s="20">
        <v>300000.0</v>
      </c>
      <c r="B119" s="20">
        <v>256.0</v>
      </c>
      <c r="C119" s="20">
        <v>8.0</v>
      </c>
      <c r="D119" s="20">
        <v>2.6887994673E10</v>
      </c>
      <c r="E119" s="20">
        <v>1.0654976E7</v>
      </c>
      <c r="F119" s="20">
        <v>228562.0</v>
      </c>
      <c r="G119" s="20">
        <v>228562.0</v>
      </c>
      <c r="H119" s="20">
        <v>357483.0</v>
      </c>
      <c r="I119" s="20">
        <v>1480.0</v>
      </c>
      <c r="J119" s="58">
        <v>1630.0</v>
      </c>
    </row>
    <row r="120">
      <c r="A120" s="20">
        <v>300000.0</v>
      </c>
      <c r="B120" s="20">
        <v>256.0</v>
      </c>
      <c r="C120" s="20">
        <v>16.0</v>
      </c>
      <c r="D120" s="20">
        <v>2.6886211172E10</v>
      </c>
      <c r="E120" s="20">
        <v>1.0620114E7</v>
      </c>
      <c r="F120" s="20">
        <v>232030.0</v>
      </c>
      <c r="G120" s="20">
        <v>232030.0</v>
      </c>
      <c r="H120" s="20">
        <v>346057.0</v>
      </c>
      <c r="I120" s="20">
        <v>1072.0</v>
      </c>
      <c r="J120" s="58">
        <v>1445.0</v>
      </c>
    </row>
    <row r="121">
      <c r="A121" s="20">
        <v>300000.0</v>
      </c>
      <c r="B121" s="20">
        <v>256.0</v>
      </c>
      <c r="C121" s="20">
        <v>32.0</v>
      </c>
      <c r="D121" s="20">
        <v>2.6884097747E10</v>
      </c>
      <c r="E121" s="20">
        <v>1.0622359E7</v>
      </c>
      <c r="F121" s="20">
        <v>228580.0</v>
      </c>
      <c r="G121" s="20">
        <v>228580.0</v>
      </c>
      <c r="H121" s="20">
        <v>322756.0</v>
      </c>
      <c r="I121" s="20">
        <v>867.0</v>
      </c>
      <c r="J121" s="58">
        <v>1449.0</v>
      </c>
    </row>
    <row r="122">
      <c r="A122" s="20">
        <v>300000.0</v>
      </c>
      <c r="B122" s="20">
        <v>256.0</v>
      </c>
      <c r="C122" s="20">
        <v>64.0</v>
      </c>
      <c r="D122" s="20">
        <v>2.68878768E10</v>
      </c>
      <c r="E122" s="20">
        <v>1.0671128E7</v>
      </c>
      <c r="F122" s="20">
        <v>228112.0</v>
      </c>
      <c r="G122" s="20">
        <v>228112.0</v>
      </c>
      <c r="H122" s="20">
        <v>276610.0</v>
      </c>
      <c r="I122" s="20">
        <v>953.0</v>
      </c>
      <c r="J122" s="58">
        <v>1420.0</v>
      </c>
    </row>
    <row r="123">
      <c r="A123" s="20">
        <v>500000.0</v>
      </c>
      <c r="B123" s="20">
        <v>256.0</v>
      </c>
      <c r="C123" s="20">
        <v>8.0</v>
      </c>
      <c r="D123" s="20">
        <v>4.4803653214E10</v>
      </c>
      <c r="E123" s="20">
        <v>1.7641593E7</v>
      </c>
      <c r="F123" s="20">
        <v>361704.0</v>
      </c>
      <c r="G123" s="20">
        <v>361704.0</v>
      </c>
      <c r="H123" s="20">
        <v>357565.0</v>
      </c>
      <c r="I123" s="20">
        <v>1490.0</v>
      </c>
      <c r="J123" s="58">
        <v>1502.0</v>
      </c>
    </row>
    <row r="124">
      <c r="A124" s="20">
        <v>500000.0</v>
      </c>
      <c r="B124" s="20">
        <v>256.0</v>
      </c>
      <c r="C124" s="20">
        <v>16.0</v>
      </c>
      <c r="D124" s="20">
        <v>4.480285217E10</v>
      </c>
      <c r="E124" s="20">
        <v>1.7655669E7</v>
      </c>
      <c r="F124" s="20">
        <v>358722.0</v>
      </c>
      <c r="G124" s="20">
        <v>358722.0</v>
      </c>
      <c r="H124" s="20">
        <v>346066.0</v>
      </c>
      <c r="I124" s="20">
        <v>1053.0</v>
      </c>
      <c r="J124" s="58">
        <v>1500.0</v>
      </c>
    </row>
    <row r="125">
      <c r="A125" s="20">
        <v>500000.0</v>
      </c>
      <c r="B125" s="20">
        <v>256.0</v>
      </c>
      <c r="C125" s="20">
        <v>32.0</v>
      </c>
      <c r="D125" s="20">
        <v>4.4803018064E10</v>
      </c>
      <c r="E125" s="20">
        <v>1.7745249E7</v>
      </c>
      <c r="F125" s="20">
        <v>359594.0</v>
      </c>
      <c r="G125" s="20">
        <v>359594.0</v>
      </c>
      <c r="H125" s="20">
        <v>322781.0</v>
      </c>
      <c r="I125" s="20">
        <v>878.0</v>
      </c>
      <c r="J125" s="58">
        <v>1447.0</v>
      </c>
    </row>
    <row r="126">
      <c r="A126" s="20">
        <v>500000.0</v>
      </c>
      <c r="B126" s="20">
        <v>256.0</v>
      </c>
      <c r="C126" s="20">
        <v>64.0</v>
      </c>
      <c r="D126" s="20">
        <v>4.4803729402E10</v>
      </c>
      <c r="E126" s="20">
        <v>1.7646558E7</v>
      </c>
      <c r="F126" s="20">
        <v>356719.0</v>
      </c>
      <c r="G126" s="20">
        <v>356719.0</v>
      </c>
      <c r="H126" s="20">
        <v>276569.0</v>
      </c>
      <c r="I126" s="20">
        <v>955.0</v>
      </c>
      <c r="J126" s="58">
        <v>1478.0</v>
      </c>
    </row>
    <row r="127">
      <c r="A127" s="20" t="s">
        <v>107</v>
      </c>
      <c r="B127" s="20" t="s">
        <v>99</v>
      </c>
      <c r="C127" s="20" t="s">
        <v>100</v>
      </c>
      <c r="D127" s="20" t="s">
        <v>109</v>
      </c>
      <c r="E127" s="20" t="s">
        <v>110</v>
      </c>
      <c r="F127" s="20" t="s">
        <v>111</v>
      </c>
      <c r="G127" s="20" t="s">
        <v>112</v>
      </c>
      <c r="H127" s="20" t="s">
        <v>113</v>
      </c>
      <c r="I127" s="20" t="s">
        <v>116</v>
      </c>
    </row>
    <row r="128">
      <c r="A128" s="20">
        <v>10000.0</v>
      </c>
      <c r="B128" s="20">
        <v>512.0</v>
      </c>
      <c r="C128" s="20">
        <v>8.0</v>
      </c>
      <c r="D128" s="20">
        <v>1.818302627E9</v>
      </c>
      <c r="E128" s="20">
        <v>771402.0</v>
      </c>
      <c r="F128" s="20">
        <v>26267.0</v>
      </c>
      <c r="G128" s="20">
        <v>26267.0</v>
      </c>
      <c r="H128" s="20">
        <v>726610.0</v>
      </c>
      <c r="I128" s="20">
        <v>2693.0</v>
      </c>
    </row>
    <row r="129">
      <c r="A129" s="20">
        <v>10000.0</v>
      </c>
      <c r="B129" s="20">
        <v>512.0</v>
      </c>
      <c r="C129" s="20">
        <v>16.0</v>
      </c>
      <c r="D129" s="20">
        <v>1.817197788E9</v>
      </c>
      <c r="E129" s="20">
        <v>763970.0</v>
      </c>
      <c r="F129" s="20">
        <v>20789.0</v>
      </c>
      <c r="G129" s="20">
        <v>20789.0</v>
      </c>
      <c r="H129" s="20">
        <v>714994.0</v>
      </c>
      <c r="I129" s="20">
        <v>1789.0</v>
      </c>
    </row>
    <row r="130">
      <c r="A130" s="20">
        <v>10000.0</v>
      </c>
      <c r="B130" s="20">
        <v>512.0</v>
      </c>
      <c r="C130" s="20">
        <v>32.0</v>
      </c>
      <c r="D130" s="20">
        <v>1.817607647E9</v>
      </c>
      <c r="E130" s="20">
        <v>777014.0</v>
      </c>
      <c r="F130" s="20">
        <v>24785.0</v>
      </c>
      <c r="G130" s="20">
        <v>24785.0</v>
      </c>
      <c r="H130" s="20">
        <v>691683.0</v>
      </c>
      <c r="I130" s="20">
        <v>1798.0</v>
      </c>
    </row>
    <row r="131">
      <c r="A131" s="20">
        <v>10000.0</v>
      </c>
      <c r="B131" s="20">
        <v>512.0</v>
      </c>
      <c r="C131" s="20">
        <v>64.0</v>
      </c>
      <c r="D131" s="20">
        <v>1.817415156E9</v>
      </c>
      <c r="E131" s="20">
        <v>799208.0</v>
      </c>
      <c r="F131" s="20">
        <v>27909.0</v>
      </c>
      <c r="G131" s="20">
        <v>27909.0</v>
      </c>
      <c r="H131" s="20">
        <v>645278.0</v>
      </c>
      <c r="I131" s="20">
        <v>1559.0</v>
      </c>
    </row>
    <row r="132">
      <c r="A132" s="20">
        <v>10000.0</v>
      </c>
      <c r="B132" s="20">
        <v>512.0</v>
      </c>
      <c r="C132" s="20">
        <v>128.0</v>
      </c>
      <c r="D132" s="20">
        <v>1.816586396E9</v>
      </c>
      <c r="E132" s="20">
        <v>781402.0</v>
      </c>
      <c r="F132" s="20">
        <v>30985.0</v>
      </c>
      <c r="G132" s="20">
        <v>30985.0</v>
      </c>
      <c r="H132" s="20">
        <v>553159.0</v>
      </c>
      <c r="I132" s="20">
        <v>1867.0</v>
      </c>
    </row>
    <row r="133">
      <c r="A133" s="20">
        <v>32128.0</v>
      </c>
      <c r="B133" s="20">
        <v>512.0</v>
      </c>
      <c r="C133" s="20">
        <v>8.0</v>
      </c>
      <c r="D133" s="20">
        <v>5.785332155E9</v>
      </c>
      <c r="E133" s="20">
        <v>2573463.0</v>
      </c>
      <c r="F133" s="20">
        <v>63197.0</v>
      </c>
      <c r="G133" s="20">
        <v>63197.0</v>
      </c>
      <c r="H133" s="20">
        <v>726691.0</v>
      </c>
      <c r="I133" s="20">
        <v>3787.0</v>
      </c>
    </row>
    <row r="134">
      <c r="A134" s="20">
        <v>32128.0</v>
      </c>
      <c r="B134" s="20">
        <v>512.0</v>
      </c>
      <c r="C134" s="20">
        <v>16.0</v>
      </c>
      <c r="D134" s="20">
        <v>5.783739192E9</v>
      </c>
      <c r="E134" s="20">
        <v>2405898.0</v>
      </c>
      <c r="F134" s="20">
        <v>59191.0</v>
      </c>
      <c r="G134" s="20">
        <v>59191.0</v>
      </c>
      <c r="H134" s="20">
        <v>715030.0</v>
      </c>
      <c r="I134" s="20">
        <v>1920.0</v>
      </c>
    </row>
    <row r="135">
      <c r="A135" s="20">
        <v>32128.0</v>
      </c>
      <c r="B135" s="20">
        <v>512.0</v>
      </c>
      <c r="C135" s="20">
        <v>32.0</v>
      </c>
      <c r="D135" s="20">
        <v>5.784762473E9</v>
      </c>
      <c r="E135" s="20">
        <v>2410589.0</v>
      </c>
      <c r="F135" s="20">
        <v>60185.0</v>
      </c>
      <c r="G135" s="20">
        <v>60185.0</v>
      </c>
      <c r="H135" s="20">
        <v>691632.0</v>
      </c>
      <c r="I135" s="20">
        <v>1702.0</v>
      </c>
    </row>
    <row r="136">
      <c r="A136" s="20">
        <v>32128.0</v>
      </c>
      <c r="B136" s="20">
        <v>512.0</v>
      </c>
      <c r="C136" s="20">
        <v>64.0</v>
      </c>
      <c r="D136" s="20">
        <v>5.78521797E9</v>
      </c>
      <c r="E136" s="20">
        <v>2530670.0</v>
      </c>
      <c r="F136" s="20">
        <v>64179.0</v>
      </c>
      <c r="G136" s="20">
        <v>64179.0</v>
      </c>
      <c r="H136" s="20">
        <v>645263.0</v>
      </c>
      <c r="I136" s="20">
        <v>1822.0</v>
      </c>
    </row>
    <row r="137">
      <c r="A137" s="20">
        <v>32128.0</v>
      </c>
      <c r="B137" s="20">
        <v>512.0</v>
      </c>
      <c r="C137" s="20">
        <v>128.0</v>
      </c>
      <c r="D137" s="20">
        <v>5.782178004E9</v>
      </c>
      <c r="E137" s="20">
        <v>2423014.0</v>
      </c>
      <c r="F137" s="20">
        <v>63811.0</v>
      </c>
      <c r="G137" s="20">
        <v>63811.0</v>
      </c>
      <c r="H137" s="20">
        <v>553190.0</v>
      </c>
      <c r="I137" s="20">
        <v>1966.0</v>
      </c>
    </row>
    <row r="138">
      <c r="A138" s="20">
        <v>50000.0</v>
      </c>
      <c r="B138" s="20">
        <v>512.0</v>
      </c>
      <c r="C138" s="20">
        <v>8.0</v>
      </c>
      <c r="D138" s="20">
        <v>8.984686885E9</v>
      </c>
      <c r="E138" s="20">
        <v>3651682.0</v>
      </c>
      <c r="F138" s="20">
        <v>83695.0</v>
      </c>
      <c r="G138" s="20">
        <v>83695.0</v>
      </c>
      <c r="H138" s="20">
        <v>726364.0</v>
      </c>
      <c r="I138" s="20">
        <v>2963.0</v>
      </c>
    </row>
    <row r="139">
      <c r="A139" s="20">
        <v>50000.0</v>
      </c>
      <c r="B139" s="20">
        <v>512.0</v>
      </c>
      <c r="C139" s="20">
        <v>16.0</v>
      </c>
      <c r="D139" s="20">
        <v>8.984741524E9</v>
      </c>
      <c r="E139" s="20">
        <v>3648646.0</v>
      </c>
      <c r="F139" s="20">
        <v>86214.0</v>
      </c>
      <c r="G139" s="20">
        <v>86214.0</v>
      </c>
      <c r="H139" s="20">
        <v>715371.0</v>
      </c>
      <c r="I139" s="20">
        <v>2196.0</v>
      </c>
    </row>
    <row r="140">
      <c r="A140" s="20">
        <v>50000.0</v>
      </c>
      <c r="B140" s="20">
        <v>512.0</v>
      </c>
      <c r="C140" s="20">
        <v>32.0</v>
      </c>
      <c r="D140" s="20">
        <v>8.987519752E9</v>
      </c>
      <c r="E140" s="20">
        <v>3650868.0</v>
      </c>
      <c r="F140" s="20">
        <v>95733.0</v>
      </c>
      <c r="G140" s="20">
        <v>95733.0</v>
      </c>
      <c r="H140" s="20">
        <v>691557.0</v>
      </c>
      <c r="I140" s="20">
        <v>1792.0</v>
      </c>
    </row>
    <row r="141">
      <c r="A141" s="20">
        <v>50000.0</v>
      </c>
      <c r="B141" s="20">
        <v>512.0</v>
      </c>
      <c r="C141" s="20">
        <v>64.0</v>
      </c>
      <c r="D141" s="20">
        <v>8.983057565E9</v>
      </c>
      <c r="E141" s="20">
        <v>3695254.0</v>
      </c>
      <c r="F141" s="20">
        <v>90749.0</v>
      </c>
      <c r="G141" s="20">
        <v>90749.0</v>
      </c>
      <c r="H141" s="20">
        <v>645277.0</v>
      </c>
      <c r="I141" s="20">
        <v>1697.0</v>
      </c>
    </row>
    <row r="142">
      <c r="A142" s="20">
        <v>50000.0</v>
      </c>
      <c r="B142" s="20">
        <v>512.0</v>
      </c>
      <c r="C142" s="20">
        <v>128.0</v>
      </c>
      <c r="D142" s="20">
        <v>8.981080755E9</v>
      </c>
      <c r="E142" s="20">
        <v>3628592.0</v>
      </c>
      <c r="F142" s="20">
        <v>92525.0</v>
      </c>
      <c r="G142" s="20">
        <v>92525.0</v>
      </c>
      <c r="H142" s="20">
        <v>553141.0</v>
      </c>
      <c r="I142" s="20">
        <v>1943.0</v>
      </c>
    </row>
    <row r="143">
      <c r="A143" s="20">
        <v>100000.0</v>
      </c>
      <c r="B143" s="20">
        <v>512.0</v>
      </c>
      <c r="C143" s="20">
        <v>8.0</v>
      </c>
      <c r="D143" s="20">
        <v>1.7948842907E10</v>
      </c>
      <c r="E143" s="20">
        <v>7356368.0</v>
      </c>
      <c r="F143" s="20">
        <v>163919.0</v>
      </c>
      <c r="G143" s="20">
        <v>163919.0</v>
      </c>
      <c r="H143" s="20">
        <v>726377.0</v>
      </c>
      <c r="I143" s="20">
        <v>2978.0</v>
      </c>
    </row>
    <row r="144">
      <c r="A144" s="20">
        <v>100000.0</v>
      </c>
      <c r="B144" s="20">
        <v>512.0</v>
      </c>
      <c r="C144" s="20">
        <v>16.0</v>
      </c>
      <c r="D144" s="20">
        <v>1.794607554E10</v>
      </c>
      <c r="E144" s="20">
        <v>7322897.0</v>
      </c>
      <c r="F144" s="20">
        <v>155385.0</v>
      </c>
      <c r="G144" s="20">
        <v>155385.0</v>
      </c>
      <c r="H144" s="20">
        <v>714991.0</v>
      </c>
      <c r="I144" s="20">
        <v>1866.0</v>
      </c>
    </row>
    <row r="145">
      <c r="A145" s="20">
        <v>100000.0</v>
      </c>
      <c r="B145" s="20">
        <v>512.0</v>
      </c>
      <c r="C145" s="20">
        <v>32.0</v>
      </c>
      <c r="D145" s="20">
        <v>1.7944617453E10</v>
      </c>
      <c r="E145" s="20">
        <v>7321892.0</v>
      </c>
      <c r="F145" s="20">
        <v>156639.0</v>
      </c>
      <c r="G145" s="20">
        <v>156639.0</v>
      </c>
      <c r="H145" s="20">
        <v>691464.0</v>
      </c>
      <c r="I145" s="20">
        <v>1648.0</v>
      </c>
    </row>
    <row r="146">
      <c r="A146" s="20">
        <v>100000.0</v>
      </c>
      <c r="B146" s="20">
        <v>512.0</v>
      </c>
      <c r="C146" s="20">
        <v>64.0</v>
      </c>
      <c r="D146" s="20">
        <v>1.794619627E10</v>
      </c>
      <c r="E146" s="20">
        <v>7324558.0</v>
      </c>
      <c r="F146" s="20">
        <v>164015.0</v>
      </c>
      <c r="G146" s="20">
        <v>164015.0</v>
      </c>
      <c r="H146" s="20">
        <v>645220.0</v>
      </c>
      <c r="I146" s="20">
        <v>1611.0</v>
      </c>
    </row>
    <row r="147">
      <c r="A147" s="20">
        <v>100000.0</v>
      </c>
      <c r="B147" s="20">
        <v>512.0</v>
      </c>
      <c r="C147" s="20">
        <v>128.0</v>
      </c>
      <c r="D147" s="20">
        <v>1.7944528724E10</v>
      </c>
      <c r="E147" s="20">
        <v>7312444.0</v>
      </c>
      <c r="F147" s="20">
        <v>168469.0</v>
      </c>
      <c r="G147" s="20">
        <v>168469.0</v>
      </c>
      <c r="H147" s="20">
        <v>553217.0</v>
      </c>
      <c r="I147" s="20">
        <v>1938.0</v>
      </c>
    </row>
    <row r="148">
      <c r="A148" s="20">
        <v>300000.0</v>
      </c>
      <c r="B148" s="20">
        <v>512.0</v>
      </c>
      <c r="C148" s="20">
        <v>8.0</v>
      </c>
      <c r="D148" s="20">
        <v>5.3803716983E10</v>
      </c>
      <c r="E148" s="20">
        <v>2.1801565E7</v>
      </c>
      <c r="F148" s="20">
        <v>406531.0</v>
      </c>
      <c r="G148" s="20">
        <v>406531.0</v>
      </c>
      <c r="H148" s="20">
        <v>726211.0</v>
      </c>
      <c r="I148" s="20">
        <v>2956.0</v>
      </c>
    </row>
    <row r="149">
      <c r="A149" s="20">
        <v>300000.0</v>
      </c>
      <c r="B149" s="20">
        <v>512.0</v>
      </c>
      <c r="C149" s="20">
        <v>16.0</v>
      </c>
      <c r="D149" s="20">
        <v>5.3793100356E10</v>
      </c>
      <c r="E149" s="20">
        <v>2.1470165E7</v>
      </c>
      <c r="F149" s="20">
        <v>412000.0</v>
      </c>
      <c r="G149" s="20">
        <v>412000.0</v>
      </c>
      <c r="H149" s="20">
        <v>714928.0</v>
      </c>
      <c r="I149" s="20">
        <v>1880.0</v>
      </c>
    </row>
    <row r="150">
      <c r="A150" s="20">
        <v>300000.0</v>
      </c>
      <c r="B150" s="20">
        <v>512.0</v>
      </c>
      <c r="C150" s="20">
        <v>32.0</v>
      </c>
      <c r="D150" s="20">
        <v>5.3792538516E10</v>
      </c>
      <c r="E150" s="20">
        <v>2.2078976E7</v>
      </c>
      <c r="F150" s="20">
        <v>422556.0</v>
      </c>
      <c r="G150" s="20">
        <v>422556.0</v>
      </c>
      <c r="H150" s="20">
        <v>691468.0</v>
      </c>
      <c r="I150" s="20">
        <v>1542.0</v>
      </c>
    </row>
    <row r="151">
      <c r="A151" s="20">
        <v>300000.0</v>
      </c>
      <c r="B151" s="20">
        <v>512.0</v>
      </c>
      <c r="C151" s="20">
        <v>64.0</v>
      </c>
      <c r="D151" s="20">
        <v>5.3795547968E10</v>
      </c>
      <c r="E151" s="20">
        <v>2.1755384E7</v>
      </c>
      <c r="F151" s="20">
        <v>424187.0</v>
      </c>
      <c r="G151" s="20">
        <v>424187.0</v>
      </c>
      <c r="H151" s="20">
        <v>645445.0</v>
      </c>
      <c r="I151" s="20">
        <v>1873.0</v>
      </c>
    </row>
    <row r="152">
      <c r="A152" s="20">
        <v>300000.0</v>
      </c>
      <c r="B152" s="20">
        <v>512.0</v>
      </c>
      <c r="C152" s="20">
        <v>128.0</v>
      </c>
      <c r="D152" s="20">
        <v>5.3775441835E10</v>
      </c>
      <c r="E152" s="20">
        <v>2.1377425E7</v>
      </c>
      <c r="F152" s="20">
        <v>427942.0</v>
      </c>
      <c r="G152" s="20">
        <v>427942.0</v>
      </c>
      <c r="H152" s="20">
        <v>553309.0</v>
      </c>
      <c r="I152" s="20">
        <v>1799.0</v>
      </c>
    </row>
    <row r="153">
      <c r="A153" s="20">
        <v>500000.0</v>
      </c>
      <c r="B153" s="20">
        <v>512.0</v>
      </c>
      <c r="C153" s="20">
        <v>8.0</v>
      </c>
      <c r="D153" s="20">
        <v>8.9692428115E10</v>
      </c>
      <c r="E153" s="20">
        <v>3.5674668E7</v>
      </c>
      <c r="F153" s="20">
        <v>704895.0</v>
      </c>
      <c r="G153" s="20">
        <v>704895.0</v>
      </c>
      <c r="H153" s="20">
        <v>726412.0</v>
      </c>
      <c r="I153" s="20">
        <v>2930.0</v>
      </c>
    </row>
    <row r="154">
      <c r="A154" s="20">
        <v>500000.0</v>
      </c>
      <c r="B154" s="20">
        <v>512.0</v>
      </c>
      <c r="C154" s="20">
        <v>16.0</v>
      </c>
      <c r="D154" s="20">
        <v>8.9694269535E10</v>
      </c>
      <c r="E154" s="20">
        <v>3.5438063E7</v>
      </c>
      <c r="F154" s="20">
        <v>698788.0</v>
      </c>
      <c r="G154" s="20">
        <v>698788.0</v>
      </c>
      <c r="H154" s="20">
        <v>715347.0</v>
      </c>
      <c r="I154" s="20">
        <v>1889.0</v>
      </c>
    </row>
    <row r="155">
      <c r="A155" s="20">
        <v>500000.0</v>
      </c>
      <c r="B155" s="20">
        <v>512.0</v>
      </c>
      <c r="C155" s="20">
        <v>32.0</v>
      </c>
      <c r="D155" s="20">
        <v>8.9698069417E10</v>
      </c>
      <c r="E155" s="20">
        <v>3.5717648E7</v>
      </c>
      <c r="F155" s="20">
        <v>708411.0</v>
      </c>
      <c r="G155" s="20">
        <v>708411.0</v>
      </c>
      <c r="H155" s="20">
        <v>691482.0</v>
      </c>
      <c r="I155" s="20">
        <v>1544.0</v>
      </c>
    </row>
    <row r="156">
      <c r="A156" s="20">
        <v>500000.0</v>
      </c>
      <c r="B156" s="20">
        <v>512.0</v>
      </c>
      <c r="C156" s="20">
        <v>64.0</v>
      </c>
      <c r="D156" s="20">
        <v>8.9689872888E10</v>
      </c>
      <c r="E156" s="20">
        <v>3.6062713E7</v>
      </c>
      <c r="F156" s="20">
        <v>755655.0</v>
      </c>
      <c r="G156" s="20">
        <v>755655.0</v>
      </c>
      <c r="H156" s="20">
        <v>645380.0</v>
      </c>
      <c r="I156" s="20">
        <v>1777.0</v>
      </c>
    </row>
    <row r="157">
      <c r="A157" s="20">
        <v>500000.0</v>
      </c>
      <c r="B157" s="20">
        <v>512.0</v>
      </c>
      <c r="C157" s="20">
        <v>128.0</v>
      </c>
      <c r="D157" s="20">
        <v>8.9698218943E10</v>
      </c>
      <c r="E157" s="20">
        <v>3.6203307E7</v>
      </c>
      <c r="F157" s="20">
        <v>724731.0</v>
      </c>
      <c r="G157" s="20">
        <v>724731.0</v>
      </c>
      <c r="H157" s="20">
        <v>553194.0</v>
      </c>
      <c r="I157" s="20">
        <v>1801.0</v>
      </c>
    </row>
    <row r="158">
      <c r="A158" s="20" t="s">
        <v>117</v>
      </c>
      <c r="B158" s="20" t="s">
        <v>92</v>
      </c>
      <c r="C158" s="20" t="s">
        <v>93</v>
      </c>
      <c r="D158" s="20" t="s">
        <v>115</v>
      </c>
      <c r="E158" s="20"/>
      <c r="F158" s="20"/>
      <c r="G158" s="20"/>
      <c r="H158" s="20"/>
      <c r="I158" s="20"/>
    </row>
    <row r="159">
      <c r="A159" s="20" t="s">
        <v>107</v>
      </c>
      <c r="B159" s="20" t="s">
        <v>99</v>
      </c>
      <c r="C159" s="20" t="s">
        <v>100</v>
      </c>
      <c r="D159" s="20" t="s">
        <v>109</v>
      </c>
      <c r="E159" s="20" t="s">
        <v>110</v>
      </c>
      <c r="F159" s="20" t="s">
        <v>111</v>
      </c>
      <c r="G159" s="20" t="s">
        <v>112</v>
      </c>
      <c r="H159" s="20" t="s">
        <v>113</v>
      </c>
      <c r="I159" s="20" t="s">
        <v>116</v>
      </c>
      <c r="J159" s="57" t="s">
        <v>101</v>
      </c>
      <c r="K159" s="29" t="str">
        <f t="shared" ref="K159:K183" si="3">J159/I159</f>
        <v>#VALUE!</v>
      </c>
    </row>
    <row r="160">
      <c r="A160" s="20">
        <v>10000.0</v>
      </c>
      <c r="B160" s="20">
        <v>128.0</v>
      </c>
      <c r="C160" s="20">
        <v>8.0</v>
      </c>
      <c r="D160" s="20">
        <v>4.57691086E8</v>
      </c>
      <c r="E160" s="20">
        <v>226046.0</v>
      </c>
      <c r="F160" s="20">
        <v>17270.0</v>
      </c>
      <c r="G160" s="20">
        <v>17270.0</v>
      </c>
      <c r="H160" s="20">
        <v>173261.0</v>
      </c>
      <c r="I160" s="20">
        <v>464.0</v>
      </c>
      <c r="J160" s="58">
        <v>515.0</v>
      </c>
      <c r="K160" s="29">
        <f t="shared" si="3"/>
        <v>1.109913793</v>
      </c>
    </row>
    <row r="161">
      <c r="A161" s="20">
        <v>32128.0</v>
      </c>
      <c r="B161" s="20">
        <v>128.0</v>
      </c>
      <c r="C161" s="20">
        <v>8.0</v>
      </c>
      <c r="D161" s="20">
        <v>1.447947315E9</v>
      </c>
      <c r="E161" s="20">
        <v>610315.0</v>
      </c>
      <c r="F161" s="20">
        <v>20756.0</v>
      </c>
      <c r="G161" s="20">
        <v>20756.0</v>
      </c>
      <c r="H161" s="20">
        <v>173556.0</v>
      </c>
      <c r="I161" s="20">
        <v>676.0</v>
      </c>
      <c r="J161" s="58">
        <v>813.0</v>
      </c>
      <c r="K161" s="29">
        <f t="shared" si="3"/>
        <v>1.202662722</v>
      </c>
    </row>
    <row r="162">
      <c r="A162" s="20">
        <v>50000.0</v>
      </c>
      <c r="B162" s="20">
        <v>128.0</v>
      </c>
      <c r="C162" s="20">
        <v>8.0</v>
      </c>
      <c r="D162" s="20">
        <v>2.249135441E9</v>
      </c>
      <c r="E162" s="20">
        <v>988863.0</v>
      </c>
      <c r="F162" s="20">
        <v>28744.0</v>
      </c>
      <c r="G162" s="20">
        <v>28744.0</v>
      </c>
      <c r="H162" s="20">
        <v>173405.0</v>
      </c>
      <c r="I162" s="20">
        <v>897.0</v>
      </c>
      <c r="J162" s="58">
        <v>749.0</v>
      </c>
      <c r="K162" s="29">
        <f t="shared" si="3"/>
        <v>0.8350055741</v>
      </c>
    </row>
    <row r="163">
      <c r="A163" s="20">
        <v>100000.0</v>
      </c>
      <c r="B163" s="20">
        <v>128.0</v>
      </c>
      <c r="C163" s="20">
        <v>8.0</v>
      </c>
      <c r="D163" s="20">
        <v>4.486252534E9</v>
      </c>
      <c r="E163" s="20">
        <v>1839737.0</v>
      </c>
      <c r="F163" s="20">
        <v>39257.0</v>
      </c>
      <c r="G163" s="20">
        <v>39257.0</v>
      </c>
      <c r="H163" s="20">
        <v>173329.0</v>
      </c>
      <c r="I163" s="20">
        <v>1006.0</v>
      </c>
      <c r="J163" s="58">
        <v>877.0</v>
      </c>
      <c r="K163" s="29">
        <f t="shared" si="3"/>
        <v>0.8717693837</v>
      </c>
    </row>
    <row r="164">
      <c r="A164" s="20">
        <v>300000.0</v>
      </c>
      <c r="B164" s="20">
        <v>128.0</v>
      </c>
      <c r="C164" s="20">
        <v>8.0</v>
      </c>
      <c r="D164" s="20">
        <v>1.3443143761E10</v>
      </c>
      <c r="E164" s="20">
        <v>5314652.0</v>
      </c>
      <c r="F164" s="20">
        <v>113982.0</v>
      </c>
      <c r="G164" s="20">
        <v>113982.0</v>
      </c>
      <c r="H164" s="20">
        <v>173138.0</v>
      </c>
      <c r="I164" s="20">
        <v>765.0</v>
      </c>
      <c r="J164" s="58">
        <v>762.0</v>
      </c>
      <c r="K164" s="29">
        <f t="shared" si="3"/>
        <v>0.9960784314</v>
      </c>
    </row>
    <row r="165">
      <c r="A165" s="20">
        <v>500000.0</v>
      </c>
      <c r="B165" s="20">
        <v>128.0</v>
      </c>
      <c r="C165" s="20">
        <v>8.0</v>
      </c>
      <c r="D165" s="20">
        <v>2.2402216319E10</v>
      </c>
      <c r="E165" s="20">
        <v>8840254.0</v>
      </c>
      <c r="F165" s="20">
        <v>184746.0</v>
      </c>
      <c r="G165" s="20">
        <v>184746.0</v>
      </c>
      <c r="H165" s="20">
        <v>173155.0</v>
      </c>
      <c r="I165" s="20">
        <v>772.0</v>
      </c>
      <c r="J165" s="58">
        <v>790.0</v>
      </c>
      <c r="K165" s="29">
        <f t="shared" si="3"/>
        <v>1.023316062</v>
      </c>
    </row>
    <row r="166">
      <c r="A166" s="20">
        <v>10000.0</v>
      </c>
      <c r="B166" s="20">
        <v>128.0</v>
      </c>
      <c r="C166" s="20">
        <v>16.0</v>
      </c>
      <c r="D166" s="20">
        <v>4.57746838E8</v>
      </c>
      <c r="E166" s="20">
        <v>223842.0</v>
      </c>
      <c r="F166" s="20">
        <v>16014.0</v>
      </c>
      <c r="G166" s="20">
        <v>16014.0</v>
      </c>
      <c r="H166" s="20">
        <v>161335.0</v>
      </c>
      <c r="I166" s="20">
        <v>380.0</v>
      </c>
      <c r="J166" s="58">
        <v>666.0</v>
      </c>
      <c r="K166" s="29">
        <f t="shared" si="3"/>
        <v>1.752631579</v>
      </c>
    </row>
    <row r="167">
      <c r="A167" s="20">
        <v>32128.0</v>
      </c>
      <c r="B167" s="20">
        <v>128.0</v>
      </c>
      <c r="C167" s="20">
        <v>16.0</v>
      </c>
      <c r="D167" s="20">
        <v>1.447827985E9</v>
      </c>
      <c r="E167" s="20">
        <v>614546.0</v>
      </c>
      <c r="F167" s="20">
        <v>22644.0</v>
      </c>
      <c r="G167" s="20">
        <v>22644.0</v>
      </c>
      <c r="H167" s="20">
        <v>161431.0</v>
      </c>
      <c r="I167" s="20">
        <v>490.0</v>
      </c>
      <c r="J167" s="58">
        <v>1061.0</v>
      </c>
      <c r="K167" s="29">
        <f t="shared" si="3"/>
        <v>2.165306122</v>
      </c>
    </row>
    <row r="168">
      <c r="A168" s="20">
        <v>50000.0</v>
      </c>
      <c r="B168" s="20">
        <v>128.0</v>
      </c>
      <c r="C168" s="20">
        <v>16.0</v>
      </c>
      <c r="D168" s="20">
        <v>2.249078874E9</v>
      </c>
      <c r="E168" s="20">
        <v>993389.0</v>
      </c>
      <c r="F168" s="20">
        <v>31097.0</v>
      </c>
      <c r="G168" s="20">
        <v>31097.0</v>
      </c>
      <c r="H168" s="20">
        <v>161527.0</v>
      </c>
      <c r="I168" s="20">
        <v>685.0</v>
      </c>
      <c r="J168" s="58">
        <v>857.0</v>
      </c>
      <c r="K168" s="29">
        <f t="shared" si="3"/>
        <v>1.251094891</v>
      </c>
    </row>
    <row r="169">
      <c r="A169" s="20">
        <v>100000.0</v>
      </c>
      <c r="B169" s="20">
        <v>128.0</v>
      </c>
      <c r="C169" s="20">
        <v>16.0</v>
      </c>
      <c r="D169" s="20">
        <v>4.489947879E9</v>
      </c>
      <c r="E169" s="20">
        <v>1899617.0</v>
      </c>
      <c r="F169" s="20">
        <v>54652.0</v>
      </c>
      <c r="G169" s="20">
        <v>54652.0</v>
      </c>
      <c r="H169" s="20">
        <v>161448.0</v>
      </c>
      <c r="I169" s="20">
        <v>549.0</v>
      </c>
      <c r="J169" s="58">
        <v>766.0</v>
      </c>
      <c r="K169" s="29">
        <f t="shared" si="3"/>
        <v>1.395264117</v>
      </c>
    </row>
    <row r="170">
      <c r="A170" s="20">
        <v>300000.0</v>
      </c>
      <c r="B170" s="20">
        <v>128.0</v>
      </c>
      <c r="C170" s="20">
        <v>16.0</v>
      </c>
      <c r="D170" s="20">
        <v>1.3445435322E10</v>
      </c>
      <c r="E170" s="20">
        <v>5319908.0</v>
      </c>
      <c r="F170" s="20">
        <v>121570.0</v>
      </c>
      <c r="G170" s="20">
        <v>121570.0</v>
      </c>
      <c r="H170" s="20">
        <v>161472.0</v>
      </c>
      <c r="I170" s="20">
        <v>547.0</v>
      </c>
      <c r="J170" s="58">
        <v>758.0</v>
      </c>
      <c r="K170" s="29">
        <f t="shared" si="3"/>
        <v>1.385740402</v>
      </c>
    </row>
    <row r="171">
      <c r="A171" s="20">
        <v>500000.0</v>
      </c>
      <c r="B171" s="20">
        <v>128.0</v>
      </c>
      <c r="C171" s="20">
        <v>16.0</v>
      </c>
      <c r="D171" s="20">
        <v>2.2403695187E10</v>
      </c>
      <c r="E171" s="20">
        <v>8864833.0</v>
      </c>
      <c r="F171" s="20">
        <v>199457.0</v>
      </c>
      <c r="G171" s="20">
        <v>199457.0</v>
      </c>
      <c r="H171" s="20">
        <v>161487.0</v>
      </c>
      <c r="I171" s="20">
        <v>559.0</v>
      </c>
      <c r="J171" s="58">
        <v>750.0</v>
      </c>
      <c r="K171" s="29">
        <f t="shared" si="3"/>
        <v>1.341681574</v>
      </c>
    </row>
    <row r="172">
      <c r="A172" s="20">
        <v>10000.0</v>
      </c>
      <c r="B172" s="20">
        <v>128.0</v>
      </c>
      <c r="C172" s="20">
        <v>32.0</v>
      </c>
      <c r="D172" s="20">
        <v>4.56994222E8</v>
      </c>
      <c r="E172" s="20">
        <v>225503.0</v>
      </c>
      <c r="F172" s="20">
        <v>14732.0</v>
      </c>
      <c r="G172" s="20">
        <v>14732.0</v>
      </c>
      <c r="H172" s="20">
        <v>138502.0</v>
      </c>
      <c r="I172" s="20">
        <v>347.0</v>
      </c>
      <c r="J172" s="58">
        <v>751.0</v>
      </c>
      <c r="K172" s="29">
        <f t="shared" si="3"/>
        <v>2.16426513</v>
      </c>
    </row>
    <row r="173">
      <c r="A173" s="20">
        <v>32128.0</v>
      </c>
      <c r="B173" s="20">
        <v>128.0</v>
      </c>
      <c r="C173" s="20">
        <v>32.0</v>
      </c>
      <c r="D173" s="20">
        <v>1.447628397E9</v>
      </c>
      <c r="E173" s="20">
        <v>614233.0</v>
      </c>
      <c r="F173" s="20">
        <v>23137.0</v>
      </c>
      <c r="G173" s="20">
        <v>23137.0</v>
      </c>
      <c r="H173" s="20">
        <v>138343.0</v>
      </c>
      <c r="I173" s="20">
        <v>468.0</v>
      </c>
      <c r="J173" s="58">
        <v>810.0</v>
      </c>
      <c r="K173" s="29">
        <f t="shared" si="3"/>
        <v>1.730769231</v>
      </c>
    </row>
    <row r="174">
      <c r="A174" s="20">
        <v>50000.0</v>
      </c>
      <c r="B174" s="20">
        <v>128.0</v>
      </c>
      <c r="C174" s="20">
        <v>32.0</v>
      </c>
      <c r="D174" s="20">
        <v>2.247686775E9</v>
      </c>
      <c r="E174" s="20">
        <v>925461.0</v>
      </c>
      <c r="F174" s="20">
        <v>27467.0</v>
      </c>
      <c r="G174" s="20">
        <v>27467.0</v>
      </c>
      <c r="H174" s="20">
        <v>138327.0</v>
      </c>
      <c r="I174" s="20">
        <v>476.0</v>
      </c>
      <c r="J174" s="58">
        <v>903.0</v>
      </c>
      <c r="K174" s="29">
        <f t="shared" si="3"/>
        <v>1.897058824</v>
      </c>
    </row>
    <row r="175">
      <c r="A175" s="20">
        <v>100000.0</v>
      </c>
      <c r="B175" s="20">
        <v>128.0</v>
      </c>
      <c r="C175" s="20">
        <v>32.0</v>
      </c>
      <c r="D175" s="20">
        <v>4.484947433E9</v>
      </c>
      <c r="E175" s="20">
        <v>1825178.0</v>
      </c>
      <c r="F175" s="20">
        <v>35316.0</v>
      </c>
      <c r="G175" s="20">
        <v>35316.0</v>
      </c>
      <c r="H175" s="20">
        <v>138370.0</v>
      </c>
      <c r="I175" s="20">
        <v>539.0</v>
      </c>
      <c r="J175" s="58">
        <v>751.0</v>
      </c>
      <c r="K175" s="29">
        <f t="shared" si="3"/>
        <v>1.393320965</v>
      </c>
    </row>
    <row r="176">
      <c r="A176" s="20">
        <v>300000.0</v>
      </c>
      <c r="B176" s="20">
        <v>128.0</v>
      </c>
      <c r="C176" s="20">
        <v>32.0</v>
      </c>
      <c r="D176" s="20">
        <v>1.3445500833E10</v>
      </c>
      <c r="E176" s="20">
        <v>5344571.0</v>
      </c>
      <c r="F176" s="20">
        <v>132620.0</v>
      </c>
      <c r="G176" s="20">
        <v>132620.0</v>
      </c>
      <c r="H176" s="20">
        <v>138323.0</v>
      </c>
      <c r="I176" s="20">
        <v>519.0</v>
      </c>
      <c r="J176" s="58">
        <v>773.0</v>
      </c>
      <c r="K176" s="29">
        <f t="shared" si="3"/>
        <v>1.489402697</v>
      </c>
    </row>
    <row r="177">
      <c r="A177" s="20">
        <v>500000.0</v>
      </c>
      <c r="B177" s="20">
        <v>128.0</v>
      </c>
      <c r="C177" s="20">
        <v>32.0</v>
      </c>
      <c r="D177" s="20">
        <v>2.2404724337E10</v>
      </c>
      <c r="E177" s="20">
        <v>9090911.0</v>
      </c>
      <c r="F177" s="20">
        <v>202865.0</v>
      </c>
      <c r="G177" s="20">
        <v>202865.0</v>
      </c>
      <c r="H177" s="20">
        <v>138369.0</v>
      </c>
      <c r="I177" s="20">
        <v>521.0</v>
      </c>
      <c r="J177" s="58">
        <v>787.0</v>
      </c>
      <c r="K177" s="29">
        <f t="shared" si="3"/>
        <v>1.510556622</v>
      </c>
    </row>
    <row r="178">
      <c r="A178" s="20">
        <v>10000.0</v>
      </c>
      <c r="B178" s="20">
        <v>128.0</v>
      </c>
      <c r="C178" s="20">
        <v>64.0</v>
      </c>
      <c r="D178" s="20">
        <v>4.56840116E8</v>
      </c>
      <c r="E178" s="20">
        <v>226953.0</v>
      </c>
      <c r="F178" s="20">
        <v>16240.0</v>
      </c>
      <c r="G178" s="20">
        <v>16240.0</v>
      </c>
      <c r="H178" s="20">
        <v>92599.0</v>
      </c>
      <c r="I178" s="20">
        <v>348.0</v>
      </c>
      <c r="J178" s="58">
        <v>873.0</v>
      </c>
      <c r="K178" s="29">
        <f t="shared" si="3"/>
        <v>2.50862069</v>
      </c>
    </row>
    <row r="179">
      <c r="A179" s="20">
        <v>32128.0</v>
      </c>
      <c r="B179" s="20">
        <v>128.0</v>
      </c>
      <c r="C179" s="20">
        <v>64.0</v>
      </c>
      <c r="D179" s="20">
        <v>1.448027173E9</v>
      </c>
      <c r="E179" s="20">
        <v>646332.0</v>
      </c>
      <c r="F179" s="20">
        <v>30451.0</v>
      </c>
      <c r="G179" s="20">
        <v>30451.0</v>
      </c>
      <c r="H179" s="20">
        <v>92332.0</v>
      </c>
      <c r="I179" s="20">
        <v>699.0</v>
      </c>
      <c r="J179" s="58">
        <v>723.0</v>
      </c>
      <c r="K179" s="29">
        <f t="shared" si="3"/>
        <v>1.034334764</v>
      </c>
    </row>
    <row r="180">
      <c r="A180" s="20">
        <v>50000.0</v>
      </c>
      <c r="B180" s="20">
        <v>128.0</v>
      </c>
      <c r="C180" s="20">
        <v>64.0</v>
      </c>
      <c r="D180" s="20">
        <v>2.246796265E9</v>
      </c>
      <c r="E180" s="20">
        <v>929865.0</v>
      </c>
      <c r="F180" s="20">
        <v>29929.0</v>
      </c>
      <c r="G180" s="20">
        <v>29929.0</v>
      </c>
      <c r="H180" s="20">
        <v>92256.0</v>
      </c>
      <c r="I180" s="20">
        <v>591.0</v>
      </c>
      <c r="J180" s="58">
        <v>705.0</v>
      </c>
      <c r="K180" s="29">
        <f t="shared" si="3"/>
        <v>1.192893401</v>
      </c>
    </row>
    <row r="181">
      <c r="A181" s="20">
        <v>100000.0</v>
      </c>
      <c r="B181" s="20">
        <v>128.0</v>
      </c>
      <c r="C181" s="20">
        <v>64.0</v>
      </c>
      <c r="D181" s="20">
        <v>4.484211142E9</v>
      </c>
      <c r="E181" s="20">
        <v>1820059.0</v>
      </c>
      <c r="F181" s="20">
        <v>40326.0</v>
      </c>
      <c r="G181" s="20">
        <v>40326.0</v>
      </c>
      <c r="H181" s="20">
        <v>92232.0</v>
      </c>
      <c r="I181" s="20">
        <v>597.0</v>
      </c>
      <c r="J181" s="58">
        <v>732.0</v>
      </c>
      <c r="K181" s="29">
        <f t="shared" si="3"/>
        <v>1.226130653</v>
      </c>
    </row>
    <row r="182">
      <c r="A182" s="20">
        <v>300000.0</v>
      </c>
      <c r="B182" s="20">
        <v>128.0</v>
      </c>
      <c r="C182" s="20">
        <v>64.0</v>
      </c>
      <c r="D182" s="20">
        <v>1.3441584662E10</v>
      </c>
      <c r="E182" s="20">
        <v>5323626.0</v>
      </c>
      <c r="F182" s="20">
        <v>131104.0</v>
      </c>
      <c r="G182" s="20">
        <v>131104.0</v>
      </c>
      <c r="H182" s="20">
        <v>92279.0</v>
      </c>
      <c r="I182" s="20">
        <v>625.0</v>
      </c>
      <c r="J182" s="58">
        <v>992.0</v>
      </c>
      <c r="K182" s="29">
        <f t="shared" si="3"/>
        <v>1.5872</v>
      </c>
    </row>
    <row r="183">
      <c r="A183" s="20">
        <v>500000.0</v>
      </c>
      <c r="B183" s="20">
        <v>128.0</v>
      </c>
      <c r="C183" s="20">
        <v>64.0</v>
      </c>
      <c r="D183" s="20">
        <v>2.2408404063E10</v>
      </c>
      <c r="E183" s="20">
        <v>9275714.0</v>
      </c>
      <c r="F183" s="20">
        <v>197303.0</v>
      </c>
      <c r="G183" s="20">
        <v>197303.0</v>
      </c>
      <c r="H183" s="20">
        <v>92284.0</v>
      </c>
      <c r="I183" s="20">
        <v>618.0</v>
      </c>
      <c r="J183" s="58">
        <v>754.0</v>
      </c>
      <c r="K183" s="29">
        <f t="shared" si="3"/>
        <v>1.220064725</v>
      </c>
    </row>
    <row r="184">
      <c r="A184" s="20" t="s">
        <v>107</v>
      </c>
      <c r="B184" s="20" t="s">
        <v>99</v>
      </c>
      <c r="C184" s="20" t="s">
        <v>100</v>
      </c>
      <c r="D184" s="20" t="s">
        <v>109</v>
      </c>
      <c r="E184" s="20" t="s">
        <v>110</v>
      </c>
      <c r="F184" s="20" t="s">
        <v>111</v>
      </c>
      <c r="G184" s="20" t="s">
        <v>112</v>
      </c>
      <c r="H184" s="20" t="s">
        <v>113</v>
      </c>
      <c r="I184" s="20" t="s">
        <v>116</v>
      </c>
    </row>
    <row r="185">
      <c r="A185" s="20">
        <v>10000.0</v>
      </c>
      <c r="B185" s="20">
        <v>256.0</v>
      </c>
      <c r="C185" s="20">
        <v>8.0</v>
      </c>
      <c r="D185" s="20">
        <v>9.10983107E8</v>
      </c>
      <c r="E185" s="20">
        <v>407757.0</v>
      </c>
      <c r="F185" s="20">
        <v>18857.0</v>
      </c>
      <c r="G185" s="20">
        <v>18857.0</v>
      </c>
      <c r="H185" s="20">
        <v>358050.0</v>
      </c>
      <c r="I185" s="20">
        <v>1260.0</v>
      </c>
    </row>
    <row r="186">
      <c r="A186" s="20">
        <v>10000.0</v>
      </c>
      <c r="B186" s="20">
        <v>256.0</v>
      </c>
      <c r="C186" s="20">
        <v>16.0</v>
      </c>
      <c r="D186" s="20">
        <v>9.1083972E8</v>
      </c>
      <c r="E186" s="20">
        <v>405806.0</v>
      </c>
      <c r="F186" s="20">
        <v>16435.0</v>
      </c>
      <c r="G186" s="20">
        <v>16435.0</v>
      </c>
      <c r="H186" s="20">
        <v>345923.0</v>
      </c>
      <c r="I186" s="20">
        <v>891.0</v>
      </c>
    </row>
    <row r="187">
      <c r="A187" s="20">
        <v>10000.0</v>
      </c>
      <c r="B187" s="20">
        <v>256.0</v>
      </c>
      <c r="C187" s="20">
        <v>32.0</v>
      </c>
      <c r="D187" s="20">
        <v>9.10879054E8</v>
      </c>
      <c r="E187" s="20">
        <v>421873.0</v>
      </c>
      <c r="F187" s="20">
        <v>16967.0</v>
      </c>
      <c r="G187" s="20">
        <v>16967.0</v>
      </c>
      <c r="H187" s="20">
        <v>322743.0</v>
      </c>
      <c r="I187" s="20">
        <v>787.0</v>
      </c>
    </row>
    <row r="188">
      <c r="A188" s="20">
        <v>10000.0</v>
      </c>
      <c r="B188" s="20">
        <v>256.0</v>
      </c>
      <c r="C188" s="20">
        <v>64.0</v>
      </c>
      <c r="D188" s="20">
        <v>9.10145747E8</v>
      </c>
      <c r="E188" s="20">
        <v>411999.0</v>
      </c>
      <c r="F188" s="20">
        <v>20475.0</v>
      </c>
      <c r="G188" s="20">
        <v>20475.0</v>
      </c>
      <c r="H188" s="20">
        <v>276808.0</v>
      </c>
      <c r="I188" s="20">
        <v>757.0</v>
      </c>
    </row>
    <row r="189">
      <c r="A189" s="20">
        <v>32128.0</v>
      </c>
      <c r="B189" s="20">
        <v>256.0</v>
      </c>
      <c r="C189" s="20">
        <v>8.0</v>
      </c>
      <c r="D189" s="20">
        <v>2.892015652E9</v>
      </c>
      <c r="E189" s="20">
        <v>1182153.0</v>
      </c>
      <c r="F189" s="20">
        <v>29779.0</v>
      </c>
      <c r="G189" s="20">
        <v>29779.0</v>
      </c>
      <c r="H189" s="20">
        <v>357972.0</v>
      </c>
      <c r="I189" s="20">
        <v>1397.0</v>
      </c>
    </row>
    <row r="190">
      <c r="A190" s="20">
        <v>32128.0</v>
      </c>
      <c r="B190" s="20">
        <v>256.0</v>
      </c>
      <c r="C190" s="20">
        <v>16.0</v>
      </c>
      <c r="D190" s="20">
        <v>2.891883563E9</v>
      </c>
      <c r="E190" s="20">
        <v>1180712.0</v>
      </c>
      <c r="F190" s="20">
        <v>31799.0</v>
      </c>
      <c r="G190" s="20">
        <v>31799.0</v>
      </c>
      <c r="H190" s="20">
        <v>345958.0</v>
      </c>
      <c r="I190" s="20">
        <v>965.0</v>
      </c>
    </row>
    <row r="191">
      <c r="A191" s="20">
        <v>32128.0</v>
      </c>
      <c r="B191" s="20">
        <v>256.0</v>
      </c>
      <c r="C191" s="20">
        <v>32.0</v>
      </c>
      <c r="D191" s="20">
        <v>2.890513972E9</v>
      </c>
      <c r="E191" s="20">
        <v>1186101.0</v>
      </c>
      <c r="F191" s="20">
        <v>25586.0</v>
      </c>
      <c r="G191" s="20">
        <v>25586.0</v>
      </c>
      <c r="H191" s="20">
        <v>322837.0</v>
      </c>
      <c r="I191" s="20">
        <v>987.0</v>
      </c>
    </row>
    <row r="192">
      <c r="A192" s="20">
        <v>32128.0</v>
      </c>
      <c r="B192" s="20">
        <v>256.0</v>
      </c>
      <c r="C192" s="20">
        <v>64.0</v>
      </c>
      <c r="D192" s="20">
        <v>2.89128978E9</v>
      </c>
      <c r="E192" s="20">
        <v>1228444.0</v>
      </c>
      <c r="F192" s="20">
        <v>31106.0</v>
      </c>
      <c r="G192" s="20">
        <v>31106.0</v>
      </c>
      <c r="H192" s="20">
        <v>276629.0</v>
      </c>
      <c r="I192" s="20">
        <v>1084.0</v>
      </c>
    </row>
    <row r="193">
      <c r="A193" s="20">
        <v>50000.0</v>
      </c>
      <c r="B193" s="20">
        <v>256.0</v>
      </c>
      <c r="C193" s="20">
        <v>8.0</v>
      </c>
      <c r="D193" s="20">
        <v>4.496437649E9</v>
      </c>
      <c r="E193" s="20">
        <v>2083531.0</v>
      </c>
      <c r="F193" s="20">
        <v>54531.0</v>
      </c>
      <c r="G193" s="20">
        <v>54531.0</v>
      </c>
      <c r="H193" s="20">
        <v>357859.0</v>
      </c>
      <c r="I193" s="20">
        <v>1610.0</v>
      </c>
    </row>
    <row r="194">
      <c r="A194" s="20">
        <v>50000.0</v>
      </c>
      <c r="B194" s="20">
        <v>256.0</v>
      </c>
      <c r="C194" s="20">
        <v>16.0</v>
      </c>
      <c r="D194" s="20">
        <v>4.496573065E9</v>
      </c>
      <c r="E194" s="20">
        <v>1895426.0</v>
      </c>
      <c r="F194" s="20">
        <v>60348.0</v>
      </c>
      <c r="G194" s="20">
        <v>60348.0</v>
      </c>
      <c r="H194" s="20">
        <v>346099.0</v>
      </c>
      <c r="I194" s="20">
        <v>1017.0</v>
      </c>
    </row>
    <row r="195">
      <c r="A195" s="20">
        <v>50000.0</v>
      </c>
      <c r="B195" s="20">
        <v>256.0</v>
      </c>
      <c r="C195" s="20">
        <v>32.0</v>
      </c>
      <c r="D195" s="20">
        <v>4.492996911E9</v>
      </c>
      <c r="E195" s="20">
        <v>1911482.0</v>
      </c>
      <c r="F195" s="20">
        <v>44146.0</v>
      </c>
      <c r="G195" s="20">
        <v>44146.0</v>
      </c>
      <c r="H195" s="20">
        <v>322749.0</v>
      </c>
      <c r="I195" s="20">
        <v>946.0</v>
      </c>
    </row>
    <row r="196">
      <c r="A196" s="20">
        <v>50000.0</v>
      </c>
      <c r="B196" s="20">
        <v>256.0</v>
      </c>
      <c r="C196" s="20">
        <v>64.0</v>
      </c>
      <c r="D196" s="20">
        <v>4.494026269E9</v>
      </c>
      <c r="E196" s="20">
        <v>1914460.0</v>
      </c>
      <c r="F196" s="20">
        <v>54027.0</v>
      </c>
      <c r="G196" s="20">
        <v>54027.0</v>
      </c>
      <c r="H196" s="20">
        <v>276618.0</v>
      </c>
      <c r="I196" s="20">
        <v>1041.0</v>
      </c>
    </row>
    <row r="197">
      <c r="A197" s="20">
        <v>100000.0</v>
      </c>
      <c r="B197" s="20">
        <v>256.0</v>
      </c>
      <c r="C197" s="20">
        <v>8.0</v>
      </c>
      <c r="D197" s="20">
        <v>8.971727937E9</v>
      </c>
      <c r="E197" s="20">
        <v>3747381.0</v>
      </c>
      <c r="F197" s="20">
        <v>99150.0</v>
      </c>
      <c r="G197" s="20">
        <v>99150.0</v>
      </c>
      <c r="H197" s="20">
        <v>357718.0</v>
      </c>
      <c r="I197" s="20">
        <v>1708.0</v>
      </c>
    </row>
    <row r="198">
      <c r="A198" s="20">
        <v>100000.0</v>
      </c>
      <c r="B198" s="20">
        <v>256.0</v>
      </c>
      <c r="C198" s="20">
        <v>16.0</v>
      </c>
      <c r="D198" s="20">
        <v>8.973771432E9</v>
      </c>
      <c r="E198" s="20">
        <v>3838378.0</v>
      </c>
      <c r="F198" s="20">
        <v>98141.0</v>
      </c>
      <c r="G198" s="20">
        <v>98141.0</v>
      </c>
      <c r="H198" s="20">
        <v>346009.0</v>
      </c>
      <c r="I198" s="20">
        <v>992.0</v>
      </c>
    </row>
    <row r="199">
      <c r="A199" s="20">
        <v>100000.0</v>
      </c>
      <c r="B199" s="20">
        <v>256.0</v>
      </c>
      <c r="C199" s="20">
        <v>32.0</v>
      </c>
      <c r="D199" s="20">
        <v>8.97355017E9</v>
      </c>
      <c r="E199" s="20">
        <v>3643040.0</v>
      </c>
      <c r="F199" s="20">
        <v>100693.0</v>
      </c>
      <c r="G199" s="20">
        <v>100693.0</v>
      </c>
      <c r="H199" s="20">
        <v>322727.0</v>
      </c>
      <c r="I199" s="20">
        <v>969.0</v>
      </c>
    </row>
    <row r="200">
      <c r="A200" s="20">
        <v>100000.0</v>
      </c>
      <c r="B200" s="20">
        <v>256.0</v>
      </c>
      <c r="C200" s="20">
        <v>64.0</v>
      </c>
      <c r="D200" s="20">
        <v>8.970420846E9</v>
      </c>
      <c r="E200" s="20">
        <v>3785963.0</v>
      </c>
      <c r="F200" s="20">
        <v>99615.0</v>
      </c>
      <c r="G200" s="20">
        <v>99615.0</v>
      </c>
      <c r="H200" s="20">
        <v>276658.0</v>
      </c>
      <c r="I200" s="20">
        <v>990.0</v>
      </c>
    </row>
    <row r="201">
      <c r="A201" s="20">
        <v>300000.0</v>
      </c>
      <c r="B201" s="20">
        <v>256.0</v>
      </c>
      <c r="C201" s="20">
        <v>8.0</v>
      </c>
      <c r="D201" s="20">
        <v>2.6889461576E10</v>
      </c>
      <c r="E201" s="20">
        <v>1.0676803E7</v>
      </c>
      <c r="F201" s="20">
        <v>224532.0</v>
      </c>
      <c r="G201" s="20">
        <v>224532.0</v>
      </c>
      <c r="H201" s="20">
        <v>357534.0</v>
      </c>
      <c r="I201" s="20">
        <v>1482.0</v>
      </c>
    </row>
    <row r="202">
      <c r="A202" s="20">
        <v>300000.0</v>
      </c>
      <c r="B202" s="20">
        <v>256.0</v>
      </c>
      <c r="C202" s="20">
        <v>16.0</v>
      </c>
      <c r="D202" s="20">
        <v>2.6887858123E10</v>
      </c>
      <c r="E202" s="20">
        <v>1.0675688E7</v>
      </c>
      <c r="F202" s="20">
        <v>247705.0</v>
      </c>
      <c r="G202" s="20">
        <v>247705.0</v>
      </c>
      <c r="H202" s="20">
        <v>346139.0</v>
      </c>
      <c r="I202" s="20">
        <v>1005.0</v>
      </c>
    </row>
    <row r="203">
      <c r="A203" s="20">
        <v>300000.0</v>
      </c>
      <c r="B203" s="20">
        <v>256.0</v>
      </c>
      <c r="C203" s="20">
        <v>32.0</v>
      </c>
      <c r="D203" s="20">
        <v>2.6888384635E10</v>
      </c>
      <c r="E203" s="20">
        <v>1.0692785E7</v>
      </c>
      <c r="F203" s="20">
        <v>241887.0</v>
      </c>
      <c r="G203" s="20">
        <v>241887.0</v>
      </c>
      <c r="H203" s="20">
        <v>322738.0</v>
      </c>
      <c r="I203" s="20">
        <v>886.0</v>
      </c>
    </row>
    <row r="204">
      <c r="A204" s="20">
        <v>500000.0</v>
      </c>
      <c r="B204" s="20">
        <v>256.0</v>
      </c>
      <c r="C204" s="20">
        <v>8.0</v>
      </c>
      <c r="D204" s="20">
        <v>4.4802950904E10</v>
      </c>
      <c r="E204" s="20">
        <v>1.7680303E7</v>
      </c>
      <c r="F204" s="20">
        <v>374653.0</v>
      </c>
      <c r="G204" s="20">
        <v>374653.0</v>
      </c>
      <c r="H204" s="20">
        <v>357560.0</v>
      </c>
      <c r="I204" s="20">
        <v>1498.0</v>
      </c>
    </row>
    <row r="205">
      <c r="A205" s="20">
        <v>500000.0</v>
      </c>
      <c r="B205" s="20">
        <v>256.0</v>
      </c>
      <c r="C205" s="20">
        <v>16.0</v>
      </c>
      <c r="D205" s="20">
        <v>4.4805508624E10</v>
      </c>
      <c r="E205" s="20">
        <v>1.778793E7</v>
      </c>
      <c r="F205" s="20">
        <v>360579.0</v>
      </c>
      <c r="G205" s="20">
        <v>360579.0</v>
      </c>
      <c r="H205" s="20">
        <v>346042.0</v>
      </c>
      <c r="I205" s="20">
        <v>1021.0</v>
      </c>
    </row>
    <row r="206">
      <c r="A206" s="20">
        <v>500000.0</v>
      </c>
      <c r="B206" s="20">
        <v>256.0</v>
      </c>
      <c r="C206" s="20">
        <v>32.0</v>
      </c>
      <c r="D206" s="20">
        <v>4.4802978599E10</v>
      </c>
      <c r="E206" s="20">
        <v>1.7683391E7</v>
      </c>
      <c r="F206" s="20">
        <v>367826.0</v>
      </c>
      <c r="G206" s="20">
        <v>367826.0</v>
      </c>
      <c r="H206" s="20">
        <v>322780.0</v>
      </c>
      <c r="I206" s="20">
        <v>885.0</v>
      </c>
    </row>
    <row r="207">
      <c r="A207" s="20">
        <v>500000.0</v>
      </c>
      <c r="B207" s="20">
        <v>256.0</v>
      </c>
      <c r="C207" s="20">
        <v>64.0</v>
      </c>
      <c r="D207" s="20">
        <v>4.4800990887E10</v>
      </c>
      <c r="E207" s="20">
        <v>1.7745302E7</v>
      </c>
      <c r="F207" s="20">
        <v>364801.0</v>
      </c>
      <c r="G207" s="20">
        <v>364801.0</v>
      </c>
      <c r="H207" s="20">
        <v>276623.0</v>
      </c>
      <c r="I207" s="20">
        <v>964.0</v>
      </c>
    </row>
    <row r="208">
      <c r="A208" s="20" t="s">
        <v>107</v>
      </c>
      <c r="B208" s="20" t="s">
        <v>99</v>
      </c>
      <c r="C208" s="20" t="s">
        <v>100</v>
      </c>
      <c r="D208" s="20" t="s">
        <v>109</v>
      </c>
      <c r="E208" s="20" t="s">
        <v>110</v>
      </c>
      <c r="F208" s="20" t="s">
        <v>111</v>
      </c>
      <c r="G208" s="20" t="s">
        <v>112</v>
      </c>
      <c r="H208" s="20" t="s">
        <v>113</v>
      </c>
      <c r="I208" s="20" t="s">
        <v>116</v>
      </c>
    </row>
    <row r="209">
      <c r="A209" s="20">
        <v>10000.0</v>
      </c>
      <c r="B209" s="20">
        <v>512.0</v>
      </c>
      <c r="C209" s="20">
        <v>8.0</v>
      </c>
      <c r="D209" s="20">
        <v>1.81768154E9</v>
      </c>
      <c r="E209" s="20">
        <v>768482.0</v>
      </c>
      <c r="F209" s="20">
        <v>21635.0</v>
      </c>
      <c r="G209" s="20">
        <v>21635.0</v>
      </c>
      <c r="H209" s="20">
        <v>726785.0</v>
      </c>
      <c r="I209" s="20">
        <v>2749.0</v>
      </c>
    </row>
    <row r="210">
      <c r="A210" s="20">
        <v>10000.0</v>
      </c>
      <c r="B210" s="20">
        <v>512.0</v>
      </c>
      <c r="C210" s="20">
        <v>16.0</v>
      </c>
      <c r="D210" s="20">
        <v>1.818054962E9</v>
      </c>
      <c r="E210" s="20">
        <v>774152.0</v>
      </c>
      <c r="F210" s="20">
        <v>24930.0</v>
      </c>
      <c r="G210" s="20">
        <v>24930.0</v>
      </c>
      <c r="H210" s="20">
        <v>715004.0</v>
      </c>
      <c r="I210" s="20">
        <v>1841.0</v>
      </c>
    </row>
    <row r="211">
      <c r="A211" s="20">
        <v>10000.0</v>
      </c>
      <c r="B211" s="20">
        <v>512.0</v>
      </c>
      <c r="C211" s="20">
        <v>32.0</v>
      </c>
      <c r="D211" s="20">
        <v>1.817779439E9</v>
      </c>
      <c r="E211" s="20">
        <v>780057.0</v>
      </c>
      <c r="F211" s="20">
        <v>24295.0</v>
      </c>
      <c r="G211" s="20">
        <v>24295.0</v>
      </c>
      <c r="H211" s="20">
        <v>691355.0</v>
      </c>
      <c r="I211" s="20">
        <v>1482.0</v>
      </c>
    </row>
    <row r="212">
      <c r="A212" s="20">
        <v>10000.0</v>
      </c>
      <c r="B212" s="20">
        <v>512.0</v>
      </c>
      <c r="C212" s="20">
        <v>64.0</v>
      </c>
      <c r="D212" s="20">
        <v>1.817255129E9</v>
      </c>
      <c r="E212" s="20">
        <v>777201.0</v>
      </c>
      <c r="F212" s="20">
        <v>26544.0</v>
      </c>
      <c r="G212" s="20">
        <v>26544.0</v>
      </c>
      <c r="H212" s="20">
        <v>645260.0</v>
      </c>
      <c r="I212" s="20">
        <v>1542.0</v>
      </c>
    </row>
    <row r="213">
      <c r="A213" s="20">
        <v>10000.0</v>
      </c>
      <c r="B213" s="20">
        <v>512.0</v>
      </c>
      <c r="C213" s="20">
        <v>128.0</v>
      </c>
      <c r="D213" s="20">
        <v>1.815801553E9</v>
      </c>
      <c r="E213" s="20">
        <v>789419.0</v>
      </c>
      <c r="F213" s="20">
        <v>25323.0</v>
      </c>
      <c r="G213" s="20">
        <v>25323.0</v>
      </c>
      <c r="H213" s="20">
        <v>553194.0</v>
      </c>
      <c r="I213" s="20">
        <v>1778.0</v>
      </c>
    </row>
    <row r="214">
      <c r="A214" s="20">
        <v>32128.0</v>
      </c>
      <c r="B214" s="20">
        <v>512.0</v>
      </c>
      <c r="C214" s="20">
        <v>8.0</v>
      </c>
      <c r="D214" s="20">
        <v>5.779484637E9</v>
      </c>
      <c r="E214" s="20">
        <v>2319845.0</v>
      </c>
      <c r="F214" s="20">
        <v>47988.0</v>
      </c>
      <c r="G214" s="20">
        <v>47988.0</v>
      </c>
      <c r="H214" s="20">
        <v>726511.0</v>
      </c>
      <c r="I214" s="20">
        <v>2824.0</v>
      </c>
    </row>
    <row r="215">
      <c r="A215" s="20">
        <v>32128.0</v>
      </c>
      <c r="B215" s="20">
        <v>512.0</v>
      </c>
      <c r="C215" s="20">
        <v>16.0</v>
      </c>
      <c r="D215" s="20">
        <v>5.779280752E9</v>
      </c>
      <c r="E215" s="20">
        <v>2323840.0</v>
      </c>
      <c r="F215" s="20">
        <v>49615.0</v>
      </c>
      <c r="G215" s="20">
        <v>49615.0</v>
      </c>
      <c r="H215" s="20">
        <v>714962.0</v>
      </c>
      <c r="I215" s="20">
        <v>1840.0</v>
      </c>
    </row>
    <row r="216">
      <c r="A216" s="20">
        <v>32128.0</v>
      </c>
      <c r="B216" s="20">
        <v>512.0</v>
      </c>
      <c r="C216" s="20">
        <v>32.0</v>
      </c>
      <c r="D216" s="20">
        <v>5.779919535E9</v>
      </c>
      <c r="E216" s="20">
        <v>2432742.0</v>
      </c>
      <c r="F216" s="20">
        <v>54273.0</v>
      </c>
      <c r="G216" s="20">
        <v>54273.0</v>
      </c>
      <c r="H216" s="20">
        <v>691493.0</v>
      </c>
      <c r="I216" s="20">
        <v>1508.0</v>
      </c>
    </row>
    <row r="217">
      <c r="A217" s="20">
        <v>32128.0</v>
      </c>
      <c r="B217" s="20">
        <v>512.0</v>
      </c>
      <c r="C217" s="20">
        <v>64.0</v>
      </c>
      <c r="D217" s="20">
        <v>5.778856476E9</v>
      </c>
      <c r="E217" s="20">
        <v>2320863.0</v>
      </c>
      <c r="F217" s="20">
        <v>53124.0</v>
      </c>
      <c r="G217" s="20">
        <v>53124.0</v>
      </c>
      <c r="H217" s="20">
        <v>645270.0</v>
      </c>
      <c r="I217" s="20">
        <v>1594.0</v>
      </c>
    </row>
    <row r="218">
      <c r="A218" s="20">
        <v>32128.0</v>
      </c>
      <c r="B218" s="20">
        <v>512.0</v>
      </c>
      <c r="C218" s="20">
        <v>128.0</v>
      </c>
      <c r="D218" s="20">
        <v>5.777944797E9</v>
      </c>
      <c r="E218" s="20">
        <v>2338446.0</v>
      </c>
      <c r="F218" s="20">
        <v>62323.0</v>
      </c>
      <c r="G218" s="20">
        <v>62323.0</v>
      </c>
      <c r="H218" s="20">
        <v>553192.0</v>
      </c>
      <c r="I218" s="20">
        <v>1768.0</v>
      </c>
    </row>
    <row r="219">
      <c r="A219" s="20">
        <v>50000.0</v>
      </c>
      <c r="B219" s="20">
        <v>512.0</v>
      </c>
      <c r="C219" s="20">
        <v>8.0</v>
      </c>
      <c r="D219" s="20">
        <v>8.980782959E9</v>
      </c>
      <c r="E219" s="20">
        <v>3593507.0</v>
      </c>
      <c r="F219" s="20">
        <v>70082.0</v>
      </c>
      <c r="G219" s="20">
        <v>70082.0</v>
      </c>
      <c r="H219" s="20">
        <v>726511.0</v>
      </c>
      <c r="I219" s="20">
        <v>3428.0</v>
      </c>
    </row>
    <row r="220">
      <c r="A220" s="20">
        <v>50000.0</v>
      </c>
      <c r="B220" s="20">
        <v>512.0</v>
      </c>
      <c r="C220" s="20">
        <v>16.0</v>
      </c>
      <c r="D220" s="20">
        <v>8.987354352E9</v>
      </c>
      <c r="E220" s="20">
        <v>3665197.0</v>
      </c>
      <c r="F220" s="20">
        <v>78504.0</v>
      </c>
      <c r="G220" s="20">
        <v>78504.0</v>
      </c>
      <c r="H220" s="20">
        <v>715109.0</v>
      </c>
      <c r="I220" s="20">
        <v>1879.0</v>
      </c>
    </row>
    <row r="221">
      <c r="A221" s="20">
        <v>50000.0</v>
      </c>
      <c r="B221" s="20">
        <v>512.0</v>
      </c>
      <c r="C221" s="20">
        <v>32.0</v>
      </c>
      <c r="D221" s="20">
        <v>8.980199533E9</v>
      </c>
      <c r="E221" s="20">
        <v>3601150.0</v>
      </c>
      <c r="F221" s="20">
        <v>78279.0</v>
      </c>
      <c r="G221" s="20">
        <v>78279.0</v>
      </c>
      <c r="H221" s="20">
        <v>691424.0</v>
      </c>
      <c r="I221" s="20">
        <v>1531.0</v>
      </c>
    </row>
    <row r="222">
      <c r="A222" s="20">
        <v>50000.0</v>
      </c>
      <c r="B222" s="20">
        <v>512.0</v>
      </c>
      <c r="C222" s="20">
        <v>64.0</v>
      </c>
      <c r="D222" s="20">
        <v>8.981588215E9</v>
      </c>
      <c r="E222" s="20">
        <v>3635599.0</v>
      </c>
      <c r="F222" s="20">
        <v>98555.0</v>
      </c>
      <c r="G222" s="20">
        <v>98555.0</v>
      </c>
      <c r="H222" s="20">
        <v>645258.0</v>
      </c>
      <c r="I222" s="20">
        <v>1650.0</v>
      </c>
    </row>
    <row r="223">
      <c r="A223" s="20">
        <v>50000.0</v>
      </c>
      <c r="B223" s="20">
        <v>512.0</v>
      </c>
      <c r="C223" s="20">
        <v>128.0</v>
      </c>
      <c r="D223" s="20">
        <v>8.98381444E9</v>
      </c>
      <c r="E223" s="20">
        <v>3717735.0</v>
      </c>
      <c r="F223" s="20">
        <v>107150.0</v>
      </c>
      <c r="G223" s="20">
        <v>107150.0</v>
      </c>
      <c r="H223" s="20">
        <v>553236.0</v>
      </c>
      <c r="I223" s="20">
        <v>1915.0</v>
      </c>
    </row>
    <row r="224">
      <c r="A224" s="20">
        <v>100000.0</v>
      </c>
      <c r="B224" s="20">
        <v>512.0</v>
      </c>
      <c r="C224" s="20">
        <v>8.0</v>
      </c>
      <c r="D224" s="20">
        <v>1.7945018736E10</v>
      </c>
      <c r="E224" s="20">
        <v>7304748.0</v>
      </c>
      <c r="F224" s="20">
        <v>168802.0</v>
      </c>
      <c r="G224" s="20">
        <v>168802.0</v>
      </c>
      <c r="H224" s="20">
        <v>726412.0</v>
      </c>
      <c r="I224" s="20">
        <v>2946.0</v>
      </c>
    </row>
    <row r="225">
      <c r="A225" s="20">
        <v>100000.0</v>
      </c>
      <c r="B225" s="20">
        <v>512.0</v>
      </c>
      <c r="C225" s="20">
        <v>16.0</v>
      </c>
      <c r="D225" s="20">
        <v>1.7940017049E10</v>
      </c>
      <c r="E225" s="20">
        <v>7230993.0</v>
      </c>
      <c r="F225" s="20">
        <v>168752.0</v>
      </c>
      <c r="G225" s="20">
        <v>168752.0</v>
      </c>
      <c r="H225" s="20">
        <v>714890.0</v>
      </c>
      <c r="I225" s="20">
        <v>1866.0</v>
      </c>
    </row>
    <row r="226">
      <c r="A226" s="20">
        <v>100000.0</v>
      </c>
      <c r="B226" s="20">
        <v>512.0</v>
      </c>
      <c r="C226" s="20">
        <v>32.0</v>
      </c>
      <c r="D226" s="20">
        <v>1.7939330657E10</v>
      </c>
      <c r="E226" s="20">
        <v>7126619.0</v>
      </c>
      <c r="F226" s="20">
        <v>173384.0</v>
      </c>
      <c r="G226" s="20">
        <v>173384.0</v>
      </c>
      <c r="H226" s="20">
        <v>691499.0</v>
      </c>
      <c r="I226" s="20">
        <v>1552.0</v>
      </c>
    </row>
    <row r="227">
      <c r="A227" s="20">
        <v>100000.0</v>
      </c>
      <c r="B227" s="20">
        <v>512.0</v>
      </c>
      <c r="C227" s="20">
        <v>64.0</v>
      </c>
      <c r="D227" s="20">
        <v>1.7940152015E10</v>
      </c>
      <c r="E227" s="20">
        <v>7182457.0</v>
      </c>
      <c r="F227" s="20">
        <v>172393.0</v>
      </c>
      <c r="G227" s="20">
        <v>172393.0</v>
      </c>
      <c r="H227" s="20">
        <v>645228.0</v>
      </c>
      <c r="I227" s="20">
        <v>1625.0</v>
      </c>
    </row>
    <row r="228">
      <c r="A228" s="20">
        <v>100000.0</v>
      </c>
      <c r="B228" s="20">
        <v>512.0</v>
      </c>
      <c r="C228" s="20">
        <v>128.0</v>
      </c>
      <c r="D228" s="20">
        <v>1.7940334671E10</v>
      </c>
      <c r="E228" s="20">
        <v>7311721.0</v>
      </c>
      <c r="F228" s="20">
        <v>201136.0</v>
      </c>
      <c r="G228" s="20">
        <v>201136.0</v>
      </c>
      <c r="H228" s="20">
        <v>553955.0</v>
      </c>
      <c r="I228" s="20">
        <v>2943.0</v>
      </c>
    </row>
    <row r="229">
      <c r="A229" s="20">
        <v>300000.0</v>
      </c>
      <c r="B229" s="20">
        <v>512.0</v>
      </c>
      <c r="C229" s="20">
        <v>8.0</v>
      </c>
      <c r="D229" s="20">
        <v>5.3798082387E10</v>
      </c>
      <c r="E229" s="20">
        <v>2.2040524E7</v>
      </c>
      <c r="F229" s="20">
        <v>447164.0</v>
      </c>
      <c r="G229" s="20">
        <v>447164.0</v>
      </c>
      <c r="H229" s="20">
        <v>727057.0</v>
      </c>
      <c r="I229" s="20">
        <v>3515.0</v>
      </c>
    </row>
    <row r="230">
      <c r="A230" s="20">
        <v>300000.0</v>
      </c>
      <c r="B230" s="20">
        <v>512.0</v>
      </c>
      <c r="C230" s="20">
        <v>16.0</v>
      </c>
      <c r="D230" s="20">
        <v>5.378772625E10</v>
      </c>
      <c r="E230" s="20">
        <v>2.2545309E7</v>
      </c>
      <c r="F230" s="20">
        <v>473192.0</v>
      </c>
      <c r="G230" s="20">
        <v>473192.0</v>
      </c>
      <c r="H230" s="20">
        <v>715128.0</v>
      </c>
      <c r="I230" s="20">
        <v>2172.0</v>
      </c>
    </row>
    <row r="231">
      <c r="A231" s="20">
        <v>300000.0</v>
      </c>
      <c r="B231" s="20">
        <v>512.0</v>
      </c>
      <c r="C231" s="20">
        <v>32.0</v>
      </c>
      <c r="D231" s="20">
        <v>5.37885416E10</v>
      </c>
      <c r="E231" s="20">
        <v>2.1668993E7</v>
      </c>
      <c r="F231" s="20">
        <v>452338.0</v>
      </c>
      <c r="G231" s="20">
        <v>452338.0</v>
      </c>
      <c r="H231" s="20">
        <v>691732.0</v>
      </c>
      <c r="I231" s="20">
        <v>1575.0</v>
      </c>
    </row>
    <row r="232">
      <c r="A232" s="20">
        <v>300000.0</v>
      </c>
      <c r="B232" s="20">
        <v>512.0</v>
      </c>
      <c r="C232" s="20">
        <v>64.0</v>
      </c>
      <c r="D232" s="20">
        <v>5.3772918088E10</v>
      </c>
      <c r="E232" s="20">
        <v>2.1227229E7</v>
      </c>
      <c r="F232" s="20">
        <v>435330.0</v>
      </c>
      <c r="G232" s="20">
        <v>435330.0</v>
      </c>
      <c r="H232" s="20">
        <v>645258.0</v>
      </c>
      <c r="I232" s="20">
        <v>1633.0</v>
      </c>
    </row>
    <row r="233">
      <c r="A233" s="20">
        <v>300000.0</v>
      </c>
      <c r="B233" s="20">
        <v>512.0</v>
      </c>
      <c r="C233" s="20">
        <v>128.0</v>
      </c>
      <c r="D233" s="20">
        <v>5.377260401E10</v>
      </c>
      <c r="E233" s="20">
        <v>2.147881E7</v>
      </c>
      <c r="F233" s="20">
        <v>449237.0</v>
      </c>
      <c r="G233" s="20">
        <v>449237.0</v>
      </c>
      <c r="H233" s="20">
        <v>553129.0</v>
      </c>
      <c r="I233" s="20">
        <v>1913.0</v>
      </c>
    </row>
    <row r="234">
      <c r="A234" s="20">
        <v>500000.0</v>
      </c>
      <c r="B234" s="20">
        <v>512.0</v>
      </c>
      <c r="C234" s="20">
        <v>8.0</v>
      </c>
      <c r="D234" s="20">
        <v>8.9721850873E10</v>
      </c>
      <c r="E234" s="20">
        <v>3.6196755E7</v>
      </c>
      <c r="F234" s="20">
        <v>739084.0</v>
      </c>
      <c r="G234" s="20">
        <v>739084.0</v>
      </c>
      <c r="H234" s="20">
        <v>726348.0</v>
      </c>
      <c r="I234" s="20">
        <v>2939.0</v>
      </c>
    </row>
    <row r="235">
      <c r="A235" s="20">
        <v>500000.0</v>
      </c>
      <c r="B235" s="20">
        <v>512.0</v>
      </c>
      <c r="C235" s="20">
        <v>16.0</v>
      </c>
      <c r="D235" s="20">
        <v>8.9688115047E10</v>
      </c>
      <c r="E235" s="20">
        <v>3.5408274E7</v>
      </c>
      <c r="F235" s="20">
        <v>721315.0</v>
      </c>
      <c r="G235" s="20">
        <v>721315.0</v>
      </c>
      <c r="H235" s="20">
        <v>715217.0</v>
      </c>
      <c r="I235" s="20">
        <v>1878.0</v>
      </c>
    </row>
    <row r="236">
      <c r="A236" s="20">
        <v>500000.0</v>
      </c>
      <c r="B236" s="20">
        <v>512.0</v>
      </c>
      <c r="C236" s="20">
        <v>32.0</v>
      </c>
      <c r="D236" s="20">
        <v>8.968896687E10</v>
      </c>
      <c r="E236" s="20">
        <v>3.5389416E7</v>
      </c>
      <c r="F236" s="20">
        <v>732780.0</v>
      </c>
      <c r="G236" s="20">
        <v>732780.0</v>
      </c>
      <c r="H236" s="20">
        <v>691666.0</v>
      </c>
      <c r="I236" s="20">
        <v>1551.0</v>
      </c>
    </row>
    <row r="237">
      <c r="A237" s="20">
        <v>500000.0</v>
      </c>
      <c r="B237" s="20">
        <v>512.0</v>
      </c>
      <c r="C237" s="20">
        <v>64.0</v>
      </c>
      <c r="D237" s="20">
        <v>8.9686545104E10</v>
      </c>
      <c r="E237" s="20">
        <v>3.5322393E7</v>
      </c>
      <c r="F237" s="20">
        <v>725914.0</v>
      </c>
      <c r="G237" s="20">
        <v>725914.0</v>
      </c>
      <c r="H237" s="20">
        <v>645250.0</v>
      </c>
      <c r="I237" s="20">
        <v>1630.0</v>
      </c>
    </row>
    <row r="238">
      <c r="A238" s="20">
        <v>500000.0</v>
      </c>
      <c r="B238" s="20">
        <v>512.0</v>
      </c>
      <c r="C238" s="20">
        <v>128.0</v>
      </c>
      <c r="D238" s="20">
        <v>8.9686288556E10</v>
      </c>
      <c r="E238" s="20">
        <v>3.5405355E7</v>
      </c>
      <c r="F238" s="20">
        <v>720222.0</v>
      </c>
      <c r="G238" s="20">
        <v>720222.0</v>
      </c>
      <c r="H238" s="20">
        <v>553170.0</v>
      </c>
      <c r="I238" s="20">
        <v>1806.0</v>
      </c>
    </row>
    <row r="239">
      <c r="A239" s="56"/>
      <c r="B239" s="56"/>
      <c r="C239" s="56"/>
      <c r="D239" s="56"/>
      <c r="E239" s="56"/>
      <c r="F239" s="56"/>
      <c r="G239" s="56"/>
      <c r="H239" s="56"/>
      <c r="I239" s="56"/>
    </row>
    <row r="240">
      <c r="A240" s="20" t="s">
        <v>118</v>
      </c>
      <c r="B240" s="20" t="s">
        <v>92</v>
      </c>
      <c r="C240" s="20" t="s">
        <v>115</v>
      </c>
      <c r="D240" s="20" t="s">
        <v>93</v>
      </c>
      <c r="E240" s="20"/>
      <c r="F240" s="20"/>
      <c r="G240" s="20"/>
      <c r="H240" s="20"/>
      <c r="I240" s="20"/>
    </row>
    <row r="241">
      <c r="A241" s="20" t="s">
        <v>119</v>
      </c>
      <c r="B241" s="20" t="s">
        <v>99</v>
      </c>
      <c r="C241" s="20" t="s">
        <v>100</v>
      </c>
      <c r="D241" s="20" t="s">
        <v>109</v>
      </c>
      <c r="E241" s="20" t="s">
        <v>110</v>
      </c>
      <c r="F241" s="20" t="s">
        <v>111</v>
      </c>
      <c r="G241" s="20" t="s">
        <v>112</v>
      </c>
      <c r="H241" s="20" t="s">
        <v>113</v>
      </c>
      <c r="I241" s="20" t="s">
        <v>116</v>
      </c>
      <c r="J241" s="57" t="s">
        <v>101</v>
      </c>
    </row>
    <row r="242">
      <c r="A242" s="20">
        <v>10000.0</v>
      </c>
      <c r="B242" s="20">
        <v>128.0</v>
      </c>
      <c r="C242" s="20">
        <v>8.0</v>
      </c>
      <c r="D242" s="20">
        <v>4.57801868E8</v>
      </c>
      <c r="E242" s="20">
        <v>229096.0</v>
      </c>
      <c r="F242" s="20">
        <v>17647.0</v>
      </c>
      <c r="G242" s="20">
        <v>17647.0</v>
      </c>
      <c r="H242" s="20">
        <v>172882.0</v>
      </c>
      <c r="I242" s="20">
        <v>501.0</v>
      </c>
      <c r="J242" s="58">
        <v>515.0</v>
      </c>
      <c r="K242" s="29">
        <f t="shared" ref="K242:K265" si="4">J242/I242</f>
        <v>1.027944112</v>
      </c>
      <c r="M242" s="23" t="s">
        <v>120</v>
      </c>
    </row>
    <row r="243">
      <c r="A243" s="20">
        <v>32128.0</v>
      </c>
      <c r="B243" s="20">
        <v>128.0</v>
      </c>
      <c r="C243" s="20">
        <v>8.0</v>
      </c>
      <c r="D243" s="20">
        <v>1.45188859E9</v>
      </c>
      <c r="E243" s="20">
        <v>621294.0</v>
      </c>
      <c r="F243" s="20">
        <v>24850.0</v>
      </c>
      <c r="G243" s="20">
        <v>24850.0</v>
      </c>
      <c r="H243" s="20">
        <v>172983.0</v>
      </c>
      <c r="I243" s="20">
        <v>696.0</v>
      </c>
      <c r="J243" s="58">
        <v>813.0</v>
      </c>
      <c r="K243" s="29">
        <f t="shared" si="4"/>
        <v>1.168103448</v>
      </c>
      <c r="M243" s="23" t="s">
        <v>121</v>
      </c>
    </row>
    <row r="244">
      <c r="A244" s="20">
        <v>50000.0</v>
      </c>
      <c r="B244" s="20">
        <v>128.0</v>
      </c>
      <c r="C244" s="20">
        <v>8.0</v>
      </c>
      <c r="D244" s="20">
        <v>2.254538481E9</v>
      </c>
      <c r="E244" s="20">
        <v>944463.0</v>
      </c>
      <c r="F244" s="20">
        <v>29158.0</v>
      </c>
      <c r="G244" s="20">
        <v>29158.0</v>
      </c>
      <c r="H244" s="20">
        <v>172906.0</v>
      </c>
      <c r="I244" s="20">
        <v>706.0</v>
      </c>
      <c r="J244" s="58">
        <v>749.0</v>
      </c>
      <c r="K244" s="29">
        <f t="shared" si="4"/>
        <v>1.060906516</v>
      </c>
      <c r="M244" s="23" t="s">
        <v>122</v>
      </c>
    </row>
    <row r="245">
      <c r="A245" s="20">
        <v>100000.0</v>
      </c>
      <c r="B245" s="20">
        <v>128.0</v>
      </c>
      <c r="C245" s="20">
        <v>8.0</v>
      </c>
      <c r="D245" s="20">
        <v>4.503559523E9</v>
      </c>
      <c r="E245" s="20">
        <v>1833428.0</v>
      </c>
      <c r="F245" s="20">
        <v>48462.0</v>
      </c>
      <c r="G245" s="20">
        <v>48462.0</v>
      </c>
      <c r="H245" s="20">
        <v>172965.0</v>
      </c>
      <c r="I245" s="20">
        <v>708.0</v>
      </c>
      <c r="J245" s="58">
        <v>877.0</v>
      </c>
      <c r="K245" s="29">
        <f t="shared" si="4"/>
        <v>1.238700565</v>
      </c>
      <c r="M245" s="23" t="s">
        <v>121</v>
      </c>
    </row>
    <row r="246">
      <c r="A246" s="20">
        <v>300000.0</v>
      </c>
      <c r="B246" s="20">
        <v>128.0</v>
      </c>
      <c r="C246" s="20">
        <v>8.0</v>
      </c>
      <c r="D246" s="20">
        <v>1.3494018187E10</v>
      </c>
      <c r="E246" s="20">
        <v>5420221.0</v>
      </c>
      <c r="F246" s="20">
        <v>112066.0</v>
      </c>
      <c r="G246" s="20">
        <v>112066.0</v>
      </c>
      <c r="H246" s="20">
        <v>172953.0</v>
      </c>
      <c r="I246" s="20">
        <v>884.0</v>
      </c>
      <c r="J246" s="58">
        <v>762.0</v>
      </c>
      <c r="K246" s="29">
        <f t="shared" si="4"/>
        <v>0.8619909502</v>
      </c>
      <c r="M246" s="23" t="s">
        <v>123</v>
      </c>
    </row>
    <row r="247">
      <c r="A247" s="20">
        <v>500000.0</v>
      </c>
      <c r="B247" s="20">
        <v>128.0</v>
      </c>
      <c r="C247" s="20">
        <v>8.0</v>
      </c>
      <c r="D247" s="20">
        <v>2.2478874016E10</v>
      </c>
      <c r="E247" s="20">
        <v>9007571.0</v>
      </c>
      <c r="F247" s="20">
        <v>174410.0</v>
      </c>
      <c r="G247" s="20">
        <v>174410.0</v>
      </c>
      <c r="H247" s="20">
        <v>172962.0</v>
      </c>
      <c r="I247" s="20">
        <v>778.0</v>
      </c>
      <c r="J247" s="58">
        <v>790.0</v>
      </c>
      <c r="K247" s="29">
        <f t="shared" si="4"/>
        <v>1.015424165</v>
      </c>
    </row>
    <row r="248">
      <c r="A248" s="20">
        <v>10000.0</v>
      </c>
      <c r="B248" s="20">
        <v>128.0</v>
      </c>
      <c r="C248" s="20">
        <v>16.0</v>
      </c>
      <c r="D248" s="20">
        <v>4.57567823E8</v>
      </c>
      <c r="E248" s="20">
        <v>230602.0</v>
      </c>
      <c r="F248" s="20">
        <v>16660.0</v>
      </c>
      <c r="G248" s="20">
        <v>16660.0</v>
      </c>
      <c r="H248" s="20">
        <v>161567.0</v>
      </c>
      <c r="I248" s="20">
        <v>479.0</v>
      </c>
      <c r="J248" s="58">
        <v>666.0</v>
      </c>
      <c r="K248" s="29">
        <f t="shared" si="4"/>
        <v>1.39039666</v>
      </c>
    </row>
    <row r="249">
      <c r="A249" s="20">
        <v>32128.0</v>
      </c>
      <c r="B249" s="20">
        <v>128.0</v>
      </c>
      <c r="C249" s="20">
        <v>16.0</v>
      </c>
      <c r="D249" s="20">
        <v>1.452024149E9</v>
      </c>
      <c r="E249" s="20">
        <v>636816.0</v>
      </c>
      <c r="F249" s="20">
        <v>25139.0</v>
      </c>
      <c r="G249" s="20">
        <v>25139.0</v>
      </c>
      <c r="H249" s="20">
        <v>161602.0</v>
      </c>
      <c r="I249" s="20">
        <v>625.0</v>
      </c>
      <c r="J249" s="58">
        <v>1061.0</v>
      </c>
      <c r="K249" s="29">
        <f t="shared" si="4"/>
        <v>1.6976</v>
      </c>
    </row>
    <row r="250">
      <c r="A250" s="20">
        <v>50000.0</v>
      </c>
      <c r="B250" s="20">
        <v>128.0</v>
      </c>
      <c r="C250" s="20">
        <v>16.0</v>
      </c>
      <c r="D250" s="20">
        <v>2.255226968E9</v>
      </c>
      <c r="E250" s="20">
        <v>961170.0</v>
      </c>
      <c r="F250" s="20">
        <v>33203.0</v>
      </c>
      <c r="G250" s="20">
        <v>33203.0</v>
      </c>
      <c r="H250" s="20">
        <v>161540.0</v>
      </c>
      <c r="I250" s="20">
        <v>532.0</v>
      </c>
      <c r="J250" s="58">
        <v>857.0</v>
      </c>
      <c r="K250" s="29">
        <f t="shared" si="4"/>
        <v>1.610902256</v>
      </c>
    </row>
    <row r="251">
      <c r="A251" s="20">
        <v>100000.0</v>
      </c>
      <c r="B251" s="20">
        <v>128.0</v>
      </c>
      <c r="C251" s="20">
        <v>16.0</v>
      </c>
      <c r="D251" s="20">
        <v>4.500650986E9</v>
      </c>
      <c r="E251" s="20">
        <v>1823827.0</v>
      </c>
      <c r="F251" s="20">
        <v>47060.0</v>
      </c>
      <c r="G251" s="20">
        <v>47060.0</v>
      </c>
      <c r="H251" s="20">
        <v>161609.0</v>
      </c>
      <c r="I251" s="20">
        <v>517.0</v>
      </c>
      <c r="J251" s="58">
        <v>766.0</v>
      </c>
      <c r="K251" s="29">
        <f t="shared" si="4"/>
        <v>1.481624758</v>
      </c>
    </row>
    <row r="252">
      <c r="A252" s="20">
        <v>300000.0</v>
      </c>
      <c r="B252" s="20">
        <v>128.0</v>
      </c>
      <c r="C252" s="20">
        <v>16.0</v>
      </c>
      <c r="D252" s="20">
        <v>1.3483436566E10</v>
      </c>
      <c r="E252" s="20">
        <v>5594297.0</v>
      </c>
      <c r="F252" s="20">
        <v>110008.0</v>
      </c>
      <c r="G252" s="20">
        <v>110008.0</v>
      </c>
      <c r="H252" s="20">
        <v>161511.0</v>
      </c>
      <c r="I252" s="20">
        <v>554.0</v>
      </c>
      <c r="J252" s="58">
        <v>758.0</v>
      </c>
      <c r="K252" s="29">
        <f t="shared" si="4"/>
        <v>1.368231047</v>
      </c>
    </row>
    <row r="253">
      <c r="A253" s="20">
        <v>500000.0</v>
      </c>
      <c r="B253" s="20">
        <v>128.0</v>
      </c>
      <c r="C253" s="20">
        <v>16.0</v>
      </c>
      <c r="D253" s="20">
        <v>2.2471557084E10</v>
      </c>
      <c r="E253" s="20">
        <v>8938698.0</v>
      </c>
      <c r="F253" s="20">
        <v>173820.0</v>
      </c>
      <c r="G253" s="20">
        <v>173820.0</v>
      </c>
      <c r="H253" s="20">
        <v>161482.0</v>
      </c>
      <c r="I253" s="20">
        <v>542.0</v>
      </c>
      <c r="J253" s="58">
        <v>750.0</v>
      </c>
      <c r="K253" s="29">
        <f t="shared" si="4"/>
        <v>1.383763838</v>
      </c>
    </row>
    <row r="254">
      <c r="A254" s="20">
        <v>10000.0</v>
      </c>
      <c r="B254" s="20">
        <v>128.0</v>
      </c>
      <c r="C254" s="20">
        <v>32.0</v>
      </c>
      <c r="D254" s="20">
        <v>4.58716846E8</v>
      </c>
      <c r="E254" s="20">
        <v>233935.0</v>
      </c>
      <c r="F254" s="20">
        <v>17073.0</v>
      </c>
      <c r="G254" s="20">
        <v>17073.0</v>
      </c>
      <c r="H254" s="20">
        <v>138437.0</v>
      </c>
      <c r="I254" s="20">
        <v>486.0</v>
      </c>
      <c r="J254" s="58">
        <v>751.0</v>
      </c>
      <c r="K254" s="29">
        <f t="shared" si="4"/>
        <v>1.54526749</v>
      </c>
    </row>
    <row r="255">
      <c r="A255" s="20">
        <v>32128.0</v>
      </c>
      <c r="B255" s="20">
        <v>128.0</v>
      </c>
      <c r="C255" s="20">
        <v>32.0</v>
      </c>
      <c r="D255" s="20">
        <v>1.451907352E9</v>
      </c>
      <c r="E255" s="20">
        <v>628017.0</v>
      </c>
      <c r="F255" s="20">
        <v>25187.0</v>
      </c>
      <c r="G255" s="20">
        <v>25187.0</v>
      </c>
      <c r="H255" s="20">
        <v>138413.0</v>
      </c>
      <c r="I255" s="20">
        <v>586.0</v>
      </c>
      <c r="J255" s="58">
        <v>810.0</v>
      </c>
      <c r="K255" s="29">
        <f t="shared" si="4"/>
        <v>1.38225256</v>
      </c>
    </row>
    <row r="256">
      <c r="A256" s="20">
        <v>50000.0</v>
      </c>
      <c r="B256" s="20">
        <v>128.0</v>
      </c>
      <c r="C256" s="20">
        <v>32.0</v>
      </c>
      <c r="D256" s="20">
        <v>2.249945575E9</v>
      </c>
      <c r="E256" s="20">
        <v>934373.0</v>
      </c>
      <c r="F256" s="20">
        <v>23909.0</v>
      </c>
      <c r="G256" s="20">
        <v>23909.0</v>
      </c>
      <c r="H256" s="20">
        <v>138333.0</v>
      </c>
      <c r="I256" s="20">
        <v>485.0</v>
      </c>
      <c r="J256" s="58">
        <v>903.0</v>
      </c>
      <c r="K256" s="29">
        <f t="shared" si="4"/>
        <v>1.86185567</v>
      </c>
    </row>
    <row r="257">
      <c r="A257" s="20">
        <v>100000.0</v>
      </c>
      <c r="B257" s="20">
        <v>128.0</v>
      </c>
      <c r="C257" s="20">
        <v>32.0</v>
      </c>
      <c r="D257" s="20">
        <v>4.500133984E9</v>
      </c>
      <c r="E257" s="20">
        <v>1819643.0</v>
      </c>
      <c r="F257" s="20">
        <v>47194.0</v>
      </c>
      <c r="G257" s="20">
        <v>47194.0</v>
      </c>
      <c r="H257" s="20">
        <v>138360.0</v>
      </c>
      <c r="I257" s="20">
        <v>520.0</v>
      </c>
      <c r="J257" s="58">
        <v>751.0</v>
      </c>
      <c r="K257" s="29">
        <f t="shared" si="4"/>
        <v>1.444230769</v>
      </c>
    </row>
    <row r="258">
      <c r="A258" s="20">
        <v>300000.0</v>
      </c>
      <c r="B258" s="20">
        <v>128.0</v>
      </c>
      <c r="C258" s="20">
        <v>32.0</v>
      </c>
      <c r="D258" s="20">
        <v>1.3486783387E10</v>
      </c>
      <c r="E258" s="20">
        <v>5434686.0</v>
      </c>
      <c r="F258" s="20">
        <v>111402.0</v>
      </c>
      <c r="G258" s="20">
        <v>111402.0</v>
      </c>
      <c r="H258" s="20">
        <v>138305.0</v>
      </c>
      <c r="I258" s="20">
        <v>528.0</v>
      </c>
      <c r="J258" s="58">
        <v>773.0</v>
      </c>
      <c r="K258" s="29">
        <f t="shared" si="4"/>
        <v>1.464015152</v>
      </c>
    </row>
    <row r="259">
      <c r="A259" s="20">
        <v>500000.0</v>
      </c>
      <c r="B259" s="20">
        <v>128.0</v>
      </c>
      <c r="C259" s="20">
        <v>32.0</v>
      </c>
      <c r="D259" s="20">
        <v>2.246917969E10</v>
      </c>
      <c r="E259" s="20">
        <v>8986244.0</v>
      </c>
      <c r="F259" s="20">
        <v>173404.0</v>
      </c>
      <c r="G259" s="20">
        <v>173404.0</v>
      </c>
      <c r="H259" s="20">
        <v>138412.0</v>
      </c>
      <c r="I259" s="20">
        <v>548.0</v>
      </c>
      <c r="J259" s="58">
        <v>787.0</v>
      </c>
      <c r="K259" s="29">
        <f t="shared" si="4"/>
        <v>1.436131387</v>
      </c>
    </row>
    <row r="260">
      <c r="A260" s="20">
        <v>10000.0</v>
      </c>
      <c r="B260" s="20">
        <v>128.0</v>
      </c>
      <c r="C260" s="20">
        <v>64.0</v>
      </c>
      <c r="D260" s="20">
        <v>4.56606992E8</v>
      </c>
      <c r="E260" s="20">
        <v>229311.0</v>
      </c>
      <c r="F260" s="20">
        <v>17419.0</v>
      </c>
      <c r="G260" s="20">
        <v>17419.0</v>
      </c>
      <c r="H260" s="20">
        <v>92608.0</v>
      </c>
      <c r="I260" s="20">
        <v>354.0</v>
      </c>
      <c r="J260" s="58">
        <v>873.0</v>
      </c>
      <c r="K260" s="29">
        <f t="shared" si="4"/>
        <v>2.466101695</v>
      </c>
    </row>
    <row r="261">
      <c r="A261" s="20">
        <v>32128.0</v>
      </c>
      <c r="B261" s="20">
        <v>128.0</v>
      </c>
      <c r="C261" s="20">
        <v>64.0</v>
      </c>
      <c r="D261" s="20">
        <v>1.452378977E9</v>
      </c>
      <c r="E261" s="20">
        <v>626826.0</v>
      </c>
      <c r="F261" s="20">
        <v>28672.0</v>
      </c>
      <c r="G261" s="20">
        <v>28672.0</v>
      </c>
      <c r="H261" s="20">
        <v>92289.0</v>
      </c>
      <c r="I261" s="20">
        <v>596.0</v>
      </c>
      <c r="J261" s="58">
        <v>723.0</v>
      </c>
      <c r="K261" s="29">
        <f t="shared" si="4"/>
        <v>1.213087248</v>
      </c>
    </row>
    <row r="262">
      <c r="A262" s="20">
        <v>50000.0</v>
      </c>
      <c r="B262" s="20">
        <v>128.0</v>
      </c>
      <c r="C262" s="20">
        <v>64.0</v>
      </c>
      <c r="D262" s="20">
        <v>2.25362166E9</v>
      </c>
      <c r="E262" s="20">
        <v>948448.0</v>
      </c>
      <c r="F262" s="20">
        <v>30883.0</v>
      </c>
      <c r="G262" s="20">
        <v>30883.0</v>
      </c>
      <c r="H262" s="20">
        <v>92297.0</v>
      </c>
      <c r="I262" s="20">
        <v>572.0</v>
      </c>
      <c r="J262" s="58">
        <v>705.0</v>
      </c>
      <c r="K262" s="29">
        <f t="shared" si="4"/>
        <v>1.232517483</v>
      </c>
    </row>
    <row r="263">
      <c r="A263" s="20">
        <v>100000.0</v>
      </c>
      <c r="B263" s="20">
        <v>128.0</v>
      </c>
      <c r="C263" s="20">
        <v>64.0</v>
      </c>
      <c r="D263" s="20">
        <v>4.497415324E9</v>
      </c>
      <c r="E263" s="20">
        <v>1831656.0</v>
      </c>
      <c r="F263" s="20">
        <v>44005.0</v>
      </c>
      <c r="G263" s="20">
        <v>44005.0</v>
      </c>
      <c r="H263" s="20">
        <v>92308.0</v>
      </c>
      <c r="I263" s="20">
        <v>587.0</v>
      </c>
      <c r="J263" s="58">
        <v>732.0</v>
      </c>
      <c r="K263" s="29">
        <f t="shared" si="4"/>
        <v>1.247018739</v>
      </c>
    </row>
    <row r="264">
      <c r="A264" s="20">
        <v>300000.0</v>
      </c>
      <c r="B264" s="20">
        <v>128.0</v>
      </c>
      <c r="C264" s="20">
        <v>64.0</v>
      </c>
      <c r="D264" s="20">
        <v>1.3498058071E10</v>
      </c>
      <c r="E264" s="20">
        <v>5728068.0</v>
      </c>
      <c r="F264" s="20">
        <v>123039.0</v>
      </c>
      <c r="G264" s="20">
        <v>123039.0</v>
      </c>
      <c r="H264" s="20">
        <v>92301.0</v>
      </c>
      <c r="I264" s="20">
        <v>727.0</v>
      </c>
      <c r="J264" s="58">
        <v>992.0</v>
      </c>
      <c r="K264" s="29">
        <f t="shared" si="4"/>
        <v>1.364511692</v>
      </c>
    </row>
    <row r="265">
      <c r="A265" s="20">
        <v>500000.0</v>
      </c>
      <c r="B265" s="20">
        <v>128.0</v>
      </c>
      <c r="C265" s="20">
        <v>64.0</v>
      </c>
      <c r="D265" s="20">
        <v>2.2470459813E10</v>
      </c>
      <c r="E265" s="20">
        <v>9019424.0</v>
      </c>
      <c r="F265" s="20">
        <v>176694.0</v>
      </c>
      <c r="G265" s="20">
        <v>176694.0</v>
      </c>
      <c r="H265" s="20">
        <v>92291.0</v>
      </c>
      <c r="I265" s="20">
        <v>627.0</v>
      </c>
      <c r="J265" s="58">
        <v>754.0</v>
      </c>
      <c r="K265" s="29">
        <f t="shared" si="4"/>
        <v>1.202551834</v>
      </c>
    </row>
    <row r="266">
      <c r="A266" s="20" t="s">
        <v>107</v>
      </c>
      <c r="B266" s="20" t="s">
        <v>99</v>
      </c>
      <c r="C266" s="20" t="s">
        <v>100</v>
      </c>
      <c r="D266" s="20" t="s">
        <v>109</v>
      </c>
      <c r="E266" s="20" t="s">
        <v>110</v>
      </c>
      <c r="F266" s="20" t="s">
        <v>111</v>
      </c>
      <c r="G266" s="20" t="s">
        <v>112</v>
      </c>
      <c r="H266" s="20" t="s">
        <v>113</v>
      </c>
      <c r="I266" s="20" t="s">
        <v>101</v>
      </c>
    </row>
    <row r="267">
      <c r="A267" s="20">
        <v>10000.0</v>
      </c>
      <c r="B267" s="20">
        <v>256.0</v>
      </c>
      <c r="C267" s="20">
        <v>8.0</v>
      </c>
      <c r="D267" s="20">
        <v>9.12995256E8</v>
      </c>
      <c r="E267" s="20">
        <v>409357.0</v>
      </c>
      <c r="F267" s="20">
        <v>19152.0</v>
      </c>
      <c r="G267" s="20">
        <v>19152.0</v>
      </c>
      <c r="H267" s="20">
        <v>357471.0</v>
      </c>
      <c r="I267" s="20">
        <v>1252.0</v>
      </c>
    </row>
    <row r="268">
      <c r="A268" s="20">
        <v>10000.0</v>
      </c>
      <c r="B268" s="20">
        <v>256.0</v>
      </c>
      <c r="C268" s="20">
        <v>16.0</v>
      </c>
      <c r="D268" s="20">
        <v>9.13639292E8</v>
      </c>
      <c r="E268" s="20">
        <v>410144.0</v>
      </c>
      <c r="F268" s="20">
        <v>18671.0</v>
      </c>
      <c r="G268" s="20">
        <v>18671.0</v>
      </c>
      <c r="H268" s="20">
        <v>346210.0</v>
      </c>
      <c r="I268" s="20">
        <v>831.0</v>
      </c>
    </row>
    <row r="269">
      <c r="A269" s="20">
        <v>10000.0</v>
      </c>
      <c r="B269" s="20">
        <v>256.0</v>
      </c>
      <c r="C269" s="20">
        <v>32.0</v>
      </c>
      <c r="D269" s="20">
        <v>9.13260893E8</v>
      </c>
      <c r="E269" s="20">
        <v>408633.0</v>
      </c>
      <c r="F269" s="20">
        <v>18216.0</v>
      </c>
      <c r="G269" s="20">
        <v>18216.0</v>
      </c>
      <c r="H269" s="20">
        <v>322667.0</v>
      </c>
      <c r="I269" s="20">
        <v>764.0</v>
      </c>
    </row>
    <row r="270">
      <c r="A270" s="20">
        <v>10000.0</v>
      </c>
      <c r="B270" s="20">
        <v>256.0</v>
      </c>
      <c r="C270" s="20">
        <v>64.0</v>
      </c>
      <c r="D270" s="20">
        <v>9.10789706E8</v>
      </c>
      <c r="E270" s="20">
        <v>413654.0</v>
      </c>
      <c r="F270" s="20">
        <v>18780.0</v>
      </c>
      <c r="G270" s="20">
        <v>18780.0</v>
      </c>
      <c r="H270" s="20">
        <v>276600.0</v>
      </c>
      <c r="I270" s="20">
        <v>863.0</v>
      </c>
    </row>
    <row r="271">
      <c r="A271" s="20">
        <v>32128.0</v>
      </c>
      <c r="B271" s="20">
        <v>256.0</v>
      </c>
      <c r="C271" s="20">
        <v>8.0</v>
      </c>
      <c r="D271" s="20">
        <v>2.893598725E9</v>
      </c>
      <c r="E271" s="20">
        <v>1219664.0</v>
      </c>
      <c r="F271" s="20">
        <v>32534.0</v>
      </c>
      <c r="G271" s="20">
        <v>32534.0</v>
      </c>
      <c r="H271" s="20">
        <v>357507.0</v>
      </c>
      <c r="I271" s="20">
        <v>1560.0</v>
      </c>
    </row>
    <row r="272">
      <c r="A272" s="20">
        <v>32128.0</v>
      </c>
      <c r="B272" s="20">
        <v>256.0</v>
      </c>
      <c r="C272" s="20">
        <v>16.0</v>
      </c>
      <c r="D272" s="20">
        <v>2.895729853E9</v>
      </c>
      <c r="E272" s="20">
        <v>1209362.0</v>
      </c>
      <c r="F272" s="20">
        <v>32481.0</v>
      </c>
      <c r="G272" s="20">
        <v>32481.0</v>
      </c>
      <c r="H272" s="20">
        <v>346438.0</v>
      </c>
      <c r="I272" s="20">
        <v>1150.0</v>
      </c>
    </row>
    <row r="273">
      <c r="A273" s="20">
        <v>32128.0</v>
      </c>
      <c r="B273" s="20">
        <v>256.0</v>
      </c>
      <c r="C273" s="20">
        <v>32.0</v>
      </c>
      <c r="D273" s="20">
        <v>2.894958691E9</v>
      </c>
      <c r="E273" s="20">
        <v>1304887.0</v>
      </c>
      <c r="F273" s="20">
        <v>28380.0</v>
      </c>
      <c r="G273" s="20">
        <v>28380.0</v>
      </c>
      <c r="H273" s="20">
        <v>322791.0</v>
      </c>
      <c r="I273" s="20">
        <v>969.0</v>
      </c>
    </row>
    <row r="274">
      <c r="A274" s="20">
        <v>32128.0</v>
      </c>
      <c r="B274" s="20">
        <v>256.0</v>
      </c>
      <c r="C274" s="20">
        <v>64.0</v>
      </c>
      <c r="D274" s="20">
        <v>2.902268902E9</v>
      </c>
      <c r="E274" s="20">
        <v>1223576.0</v>
      </c>
      <c r="F274" s="20">
        <v>38456.0</v>
      </c>
      <c r="G274" s="20">
        <v>38456.0</v>
      </c>
      <c r="H274" s="20">
        <v>276710.0</v>
      </c>
      <c r="I274" s="20">
        <v>1064.0</v>
      </c>
    </row>
    <row r="275">
      <c r="A275" s="20">
        <v>50000.0</v>
      </c>
      <c r="B275" s="20">
        <v>256.0</v>
      </c>
      <c r="C275" s="20">
        <v>8.0</v>
      </c>
      <c r="D275" s="20">
        <v>4.500007719E9</v>
      </c>
      <c r="E275" s="20">
        <v>1898238.0</v>
      </c>
      <c r="F275" s="20">
        <v>38784.0</v>
      </c>
      <c r="G275" s="20">
        <v>38784.0</v>
      </c>
      <c r="H275" s="20">
        <v>357625.0</v>
      </c>
      <c r="I275" s="20">
        <v>1665.0</v>
      </c>
    </row>
    <row r="276">
      <c r="A276" s="20">
        <v>50000.0</v>
      </c>
      <c r="B276" s="20">
        <v>256.0</v>
      </c>
      <c r="C276" s="20">
        <v>16.0</v>
      </c>
      <c r="D276" s="20">
        <v>4.491600166E9</v>
      </c>
      <c r="E276" s="20">
        <v>1856693.0</v>
      </c>
      <c r="F276" s="20">
        <v>38543.0</v>
      </c>
      <c r="G276" s="20">
        <v>38543.0</v>
      </c>
      <c r="H276" s="20">
        <v>346324.0</v>
      </c>
      <c r="I276" s="20">
        <v>987.0</v>
      </c>
    </row>
    <row r="277">
      <c r="A277" s="20">
        <v>50000.0</v>
      </c>
      <c r="B277" s="20">
        <v>256.0</v>
      </c>
      <c r="C277" s="20">
        <v>32.0</v>
      </c>
      <c r="D277" s="20">
        <v>4.503781043E9</v>
      </c>
      <c r="E277" s="20">
        <v>1887480.0</v>
      </c>
      <c r="F277" s="20">
        <v>45889.0</v>
      </c>
      <c r="G277" s="20">
        <v>45889.0</v>
      </c>
      <c r="H277" s="20">
        <v>322982.0</v>
      </c>
      <c r="I277" s="20">
        <v>1057.0</v>
      </c>
    </row>
    <row r="278">
      <c r="A278" s="20">
        <v>50000.0</v>
      </c>
      <c r="B278" s="20">
        <v>256.0</v>
      </c>
      <c r="C278" s="20">
        <v>64.0</v>
      </c>
      <c r="D278" s="20">
        <v>4.508286664E9</v>
      </c>
      <c r="E278" s="20">
        <v>1880709.0</v>
      </c>
      <c r="F278" s="20">
        <v>47194.0</v>
      </c>
      <c r="G278" s="20">
        <v>47194.0</v>
      </c>
      <c r="H278" s="20">
        <v>276697.0</v>
      </c>
      <c r="I278" s="20">
        <v>1040.0</v>
      </c>
    </row>
    <row r="279">
      <c r="A279" s="20">
        <v>100000.0</v>
      </c>
      <c r="B279" s="20">
        <v>256.0</v>
      </c>
      <c r="C279" s="20">
        <v>8.0</v>
      </c>
      <c r="D279" s="20">
        <v>9.006334499E9</v>
      </c>
      <c r="E279" s="20">
        <v>4022892.0</v>
      </c>
      <c r="F279" s="20">
        <v>84527.0</v>
      </c>
      <c r="G279" s="20">
        <v>84527.0</v>
      </c>
      <c r="H279" s="20">
        <v>357552.0</v>
      </c>
      <c r="I279" s="20">
        <v>1592.0</v>
      </c>
    </row>
    <row r="280">
      <c r="A280" s="20">
        <v>100000.0</v>
      </c>
      <c r="B280" s="20">
        <v>256.0</v>
      </c>
      <c r="C280" s="20">
        <v>16.0</v>
      </c>
      <c r="D280" s="20">
        <v>8.99881997E9</v>
      </c>
      <c r="E280" s="20">
        <v>3691078.0</v>
      </c>
      <c r="F280" s="20">
        <v>78921.0</v>
      </c>
      <c r="G280" s="20">
        <v>78921.0</v>
      </c>
      <c r="H280" s="20">
        <v>346218.0</v>
      </c>
      <c r="I280" s="20">
        <v>1465.0</v>
      </c>
    </row>
    <row r="281">
      <c r="A281" s="20">
        <v>100000.0</v>
      </c>
      <c r="B281" s="20">
        <v>256.0</v>
      </c>
      <c r="C281" s="20">
        <v>32.0</v>
      </c>
      <c r="D281" s="20">
        <v>8.999962558E9</v>
      </c>
      <c r="E281" s="20">
        <v>3729259.0</v>
      </c>
      <c r="F281" s="20">
        <v>81412.0</v>
      </c>
      <c r="G281" s="20">
        <v>81412.0</v>
      </c>
      <c r="H281" s="20">
        <v>322910.0</v>
      </c>
      <c r="I281" s="20">
        <v>1037.0</v>
      </c>
    </row>
    <row r="282">
      <c r="A282" s="20">
        <v>100000.0</v>
      </c>
      <c r="B282" s="20">
        <v>256.0</v>
      </c>
      <c r="C282" s="20">
        <v>64.0</v>
      </c>
      <c r="D282" s="20">
        <v>8.99724119E9</v>
      </c>
      <c r="E282" s="20">
        <v>3796152.0</v>
      </c>
      <c r="F282" s="20">
        <v>85820.0</v>
      </c>
      <c r="G282" s="20">
        <v>85820.0</v>
      </c>
      <c r="H282" s="20">
        <v>276588.0</v>
      </c>
      <c r="I282" s="20">
        <v>1120.0</v>
      </c>
    </row>
    <row r="283">
      <c r="A283" s="20">
        <v>300000.0</v>
      </c>
      <c r="B283" s="20">
        <v>256.0</v>
      </c>
      <c r="C283" s="20">
        <v>8.0</v>
      </c>
      <c r="D283" s="20">
        <v>2.6969090275E10</v>
      </c>
      <c r="E283" s="20">
        <v>1.0860442E7</v>
      </c>
      <c r="F283" s="20">
        <v>208287.0</v>
      </c>
      <c r="G283" s="20">
        <v>208287.0</v>
      </c>
      <c r="H283" s="20">
        <v>357433.0</v>
      </c>
      <c r="I283" s="20">
        <v>1533.0</v>
      </c>
    </row>
    <row r="284">
      <c r="A284" s="20">
        <v>300000.0</v>
      </c>
      <c r="B284" s="20">
        <v>256.0</v>
      </c>
      <c r="C284" s="20">
        <v>16.0</v>
      </c>
      <c r="D284" s="20">
        <v>2.6971670708E10</v>
      </c>
      <c r="E284" s="20">
        <v>1.0727074E7</v>
      </c>
      <c r="F284" s="20">
        <v>209889.0</v>
      </c>
      <c r="G284" s="20">
        <v>209889.0</v>
      </c>
      <c r="H284" s="20">
        <v>346202.0</v>
      </c>
      <c r="I284" s="20">
        <v>975.0</v>
      </c>
    </row>
    <row r="285">
      <c r="A285" s="20">
        <v>300000.0</v>
      </c>
      <c r="B285" s="20">
        <v>256.0</v>
      </c>
      <c r="C285" s="20">
        <v>32.0</v>
      </c>
      <c r="D285" s="20">
        <v>2.697072354E10</v>
      </c>
      <c r="E285" s="20">
        <v>1.0654351E7</v>
      </c>
      <c r="F285" s="20">
        <v>199957.0</v>
      </c>
      <c r="G285" s="20">
        <v>199957.0</v>
      </c>
      <c r="H285" s="20">
        <v>322772.0</v>
      </c>
      <c r="I285" s="20">
        <v>864.0</v>
      </c>
    </row>
    <row r="286">
      <c r="A286" s="20">
        <v>300000.0</v>
      </c>
      <c r="B286" s="20">
        <v>256.0</v>
      </c>
      <c r="C286" s="20">
        <v>64.0</v>
      </c>
      <c r="D286" s="20">
        <v>2.6975382004E10</v>
      </c>
      <c r="E286" s="20">
        <v>1.0704279E7</v>
      </c>
      <c r="F286" s="20">
        <v>212726.0</v>
      </c>
      <c r="G286" s="20">
        <v>212726.0</v>
      </c>
      <c r="H286" s="20">
        <v>276584.0</v>
      </c>
      <c r="I286" s="20">
        <v>988.0</v>
      </c>
    </row>
    <row r="287">
      <c r="A287" s="20">
        <v>500000.0</v>
      </c>
      <c r="B287" s="20">
        <v>256.0</v>
      </c>
      <c r="C287" s="20">
        <v>8.0</v>
      </c>
      <c r="D287" s="20">
        <v>4.4933057008E10</v>
      </c>
      <c r="E287" s="20">
        <v>1.7699631E7</v>
      </c>
      <c r="F287" s="20">
        <v>336200.0</v>
      </c>
      <c r="G287" s="20">
        <v>336200.0</v>
      </c>
      <c r="H287" s="20">
        <v>357355.0</v>
      </c>
      <c r="I287" s="20">
        <v>1438.0</v>
      </c>
    </row>
    <row r="288">
      <c r="A288" s="20">
        <v>500000.0</v>
      </c>
      <c r="B288" s="20">
        <v>256.0</v>
      </c>
      <c r="C288" s="20">
        <v>16.0</v>
      </c>
      <c r="D288" s="20">
        <v>4.4939250185E10</v>
      </c>
      <c r="E288" s="20">
        <v>1.7856208E7</v>
      </c>
      <c r="F288" s="20">
        <v>351467.0</v>
      </c>
      <c r="G288" s="20">
        <v>351467.0</v>
      </c>
      <c r="H288" s="20">
        <v>346218.0</v>
      </c>
      <c r="I288" s="20">
        <v>986.0</v>
      </c>
    </row>
    <row r="289">
      <c r="A289" s="20">
        <v>500000.0</v>
      </c>
      <c r="B289" s="20">
        <v>256.0</v>
      </c>
      <c r="C289" s="20">
        <v>32.0</v>
      </c>
      <c r="D289" s="20">
        <v>4.4935854631E10</v>
      </c>
      <c r="E289" s="20">
        <v>1.7940833E7</v>
      </c>
      <c r="F289" s="20">
        <v>359650.0</v>
      </c>
      <c r="G289" s="20">
        <v>359650.0</v>
      </c>
      <c r="H289" s="20">
        <v>322743.0</v>
      </c>
      <c r="I289" s="20">
        <v>885.0</v>
      </c>
    </row>
    <row r="290">
      <c r="A290" s="20">
        <v>500000.0</v>
      </c>
      <c r="B290" s="20">
        <v>256.0</v>
      </c>
      <c r="C290" s="20">
        <v>64.0</v>
      </c>
      <c r="D290" s="20">
        <v>4.4922054658E10</v>
      </c>
      <c r="E290" s="20">
        <v>1.7844607E7</v>
      </c>
      <c r="F290" s="20">
        <v>359867.0</v>
      </c>
      <c r="G290" s="20">
        <v>359867.0</v>
      </c>
      <c r="H290" s="20">
        <v>276545.0</v>
      </c>
      <c r="I290" s="20">
        <v>952.0</v>
      </c>
    </row>
    <row r="291">
      <c r="A291" s="20" t="s">
        <v>107</v>
      </c>
      <c r="B291" s="20" t="s">
        <v>99</v>
      </c>
      <c r="C291" s="20" t="s">
        <v>100</v>
      </c>
      <c r="D291" s="20" t="s">
        <v>109</v>
      </c>
      <c r="E291" s="20" t="s">
        <v>110</v>
      </c>
      <c r="F291" s="20" t="s">
        <v>111</v>
      </c>
      <c r="G291" s="20" t="s">
        <v>112</v>
      </c>
      <c r="H291" s="20" t="s">
        <v>113</v>
      </c>
      <c r="I291" s="20" t="s">
        <v>101</v>
      </c>
    </row>
    <row r="292">
      <c r="A292" s="20">
        <v>10000.0</v>
      </c>
      <c r="B292" s="20">
        <v>512.0</v>
      </c>
      <c r="C292" s="20">
        <v>8.0</v>
      </c>
      <c r="D292" s="20">
        <v>1.818213309E9</v>
      </c>
      <c r="E292" s="20">
        <v>764678.0</v>
      </c>
      <c r="F292" s="20">
        <v>21179.0</v>
      </c>
      <c r="G292" s="20">
        <v>21179.0</v>
      </c>
      <c r="H292" s="20">
        <v>726288.0</v>
      </c>
      <c r="I292" s="20">
        <v>2572.0</v>
      </c>
    </row>
    <row r="293">
      <c r="A293" s="20">
        <v>10000.0</v>
      </c>
      <c r="B293" s="20">
        <v>512.0</v>
      </c>
      <c r="C293" s="20">
        <v>16.0</v>
      </c>
      <c r="D293" s="20">
        <v>1.824925734E9</v>
      </c>
      <c r="E293" s="20">
        <v>800262.0</v>
      </c>
      <c r="F293" s="20">
        <v>32398.0</v>
      </c>
      <c r="G293" s="20">
        <v>32398.0</v>
      </c>
      <c r="H293" s="20">
        <v>715788.0</v>
      </c>
      <c r="I293" s="20">
        <v>1687.0</v>
      </c>
    </row>
    <row r="294">
      <c r="A294" s="20">
        <v>10000.0</v>
      </c>
      <c r="B294" s="20">
        <v>512.0</v>
      </c>
      <c r="C294" s="20">
        <v>32.0</v>
      </c>
      <c r="D294" s="20">
        <v>1.823057347E9</v>
      </c>
      <c r="E294" s="20">
        <v>778790.0</v>
      </c>
      <c r="F294" s="20">
        <v>27560.0</v>
      </c>
      <c r="G294" s="20">
        <v>27560.0</v>
      </c>
      <c r="H294" s="20">
        <v>691443.0</v>
      </c>
      <c r="I294" s="20">
        <v>1498.0</v>
      </c>
    </row>
    <row r="295">
      <c r="A295" s="20">
        <v>10000.0</v>
      </c>
      <c r="B295" s="20">
        <v>512.0</v>
      </c>
      <c r="C295" s="20">
        <v>64.0</v>
      </c>
      <c r="D295" s="20">
        <v>1.819317145E9</v>
      </c>
      <c r="E295" s="20">
        <v>777047.0</v>
      </c>
      <c r="F295" s="20">
        <v>23937.0</v>
      </c>
      <c r="G295" s="20">
        <v>23937.0</v>
      </c>
      <c r="H295" s="20">
        <v>645264.0</v>
      </c>
      <c r="I295" s="20">
        <v>1568.0</v>
      </c>
    </row>
    <row r="296">
      <c r="A296" s="20">
        <v>10000.0</v>
      </c>
      <c r="B296" s="20">
        <v>512.0</v>
      </c>
      <c r="C296" s="20">
        <v>128.0</v>
      </c>
      <c r="D296" s="20">
        <v>1.819612195E9</v>
      </c>
      <c r="E296" s="20">
        <v>783933.0</v>
      </c>
      <c r="F296" s="20">
        <v>33020.0</v>
      </c>
      <c r="G296" s="20">
        <v>33020.0</v>
      </c>
      <c r="H296" s="20">
        <v>553291.0</v>
      </c>
      <c r="I296" s="20">
        <v>1836.0</v>
      </c>
    </row>
    <row r="297">
      <c r="A297" s="20">
        <v>32128.0</v>
      </c>
      <c r="B297" s="20">
        <v>512.0</v>
      </c>
      <c r="C297" s="20">
        <v>8.0</v>
      </c>
      <c r="D297" s="20">
        <v>5.800813154E9</v>
      </c>
      <c r="E297" s="20">
        <v>2339122.0</v>
      </c>
      <c r="F297" s="20">
        <v>51960.0</v>
      </c>
      <c r="G297" s="20">
        <v>51960.0</v>
      </c>
      <c r="H297" s="20">
        <v>726452.0</v>
      </c>
      <c r="I297" s="20">
        <v>2795.0</v>
      </c>
    </row>
    <row r="298">
      <c r="A298" s="20">
        <v>32128.0</v>
      </c>
      <c r="B298" s="20">
        <v>512.0</v>
      </c>
      <c r="C298" s="20">
        <v>16.0</v>
      </c>
      <c r="D298" s="20">
        <v>5.796511753E9</v>
      </c>
      <c r="E298" s="20">
        <v>2326968.0</v>
      </c>
      <c r="F298" s="20">
        <v>53822.0</v>
      </c>
      <c r="G298" s="20">
        <v>53822.0</v>
      </c>
      <c r="H298" s="20">
        <v>715963.0</v>
      </c>
      <c r="I298" s="20">
        <v>1810.0</v>
      </c>
    </row>
    <row r="299">
      <c r="A299" s="20">
        <v>32128.0</v>
      </c>
      <c r="B299" s="20">
        <v>512.0</v>
      </c>
      <c r="C299" s="20">
        <v>32.0</v>
      </c>
      <c r="D299" s="20">
        <v>5.796301578E9</v>
      </c>
      <c r="E299" s="20">
        <v>2343196.0</v>
      </c>
      <c r="F299" s="20">
        <v>54911.0</v>
      </c>
      <c r="G299" s="20">
        <v>54911.0</v>
      </c>
      <c r="H299" s="20">
        <v>691449.0</v>
      </c>
      <c r="I299" s="20">
        <v>1542.0</v>
      </c>
    </row>
    <row r="300">
      <c r="A300" s="20">
        <v>32128.0</v>
      </c>
      <c r="B300" s="20">
        <v>512.0</v>
      </c>
      <c r="C300" s="20">
        <v>64.0</v>
      </c>
      <c r="D300" s="20">
        <v>5.800406043E9</v>
      </c>
      <c r="E300" s="20">
        <v>2353641.0</v>
      </c>
      <c r="F300" s="20">
        <v>59964.0</v>
      </c>
      <c r="G300" s="20">
        <v>59964.0</v>
      </c>
      <c r="H300" s="20">
        <v>645262.0</v>
      </c>
      <c r="I300" s="20">
        <v>1624.0</v>
      </c>
    </row>
    <row r="301">
      <c r="A301" s="20">
        <v>32128.0</v>
      </c>
      <c r="B301" s="20">
        <v>512.0</v>
      </c>
      <c r="C301" s="20">
        <v>128.0</v>
      </c>
      <c r="D301" s="20">
        <v>5.797477496E9</v>
      </c>
      <c r="E301" s="20">
        <v>2340500.0</v>
      </c>
      <c r="F301" s="20">
        <v>61463.0</v>
      </c>
      <c r="G301" s="20">
        <v>61463.0</v>
      </c>
      <c r="H301" s="20">
        <v>553181.0</v>
      </c>
      <c r="I301" s="20">
        <v>1765.0</v>
      </c>
    </row>
    <row r="302">
      <c r="A302" s="20">
        <v>50000.0</v>
      </c>
      <c r="B302" s="20">
        <v>512.0</v>
      </c>
      <c r="C302" s="20">
        <v>8.0</v>
      </c>
      <c r="D302" s="20">
        <v>9.011715942E9</v>
      </c>
      <c r="E302" s="20">
        <v>3630408.0</v>
      </c>
      <c r="F302" s="20">
        <v>79167.0</v>
      </c>
      <c r="G302" s="20">
        <v>79167.0</v>
      </c>
      <c r="H302" s="20">
        <v>726335.0</v>
      </c>
      <c r="I302" s="20">
        <v>2909.0</v>
      </c>
    </row>
    <row r="303">
      <c r="A303" s="20">
        <v>50000.0</v>
      </c>
      <c r="B303" s="20">
        <v>512.0</v>
      </c>
      <c r="C303" s="20">
        <v>16.0</v>
      </c>
      <c r="D303" s="20">
        <v>9.007777736E9</v>
      </c>
      <c r="E303" s="20">
        <v>3592536.0</v>
      </c>
      <c r="F303" s="20">
        <v>77104.0</v>
      </c>
      <c r="G303" s="20">
        <v>77104.0</v>
      </c>
      <c r="H303" s="20">
        <v>716088.0</v>
      </c>
      <c r="I303" s="20">
        <v>1767.0</v>
      </c>
    </row>
    <row r="304">
      <c r="A304" s="20">
        <v>50000.0</v>
      </c>
      <c r="B304" s="20">
        <v>512.0</v>
      </c>
      <c r="C304" s="20">
        <v>32.0</v>
      </c>
      <c r="D304" s="20">
        <v>9.010395803E9</v>
      </c>
      <c r="E304" s="20">
        <v>3597024.0</v>
      </c>
      <c r="F304" s="20">
        <v>78059.0</v>
      </c>
      <c r="G304" s="20">
        <v>78059.0</v>
      </c>
      <c r="H304" s="20">
        <v>691439.0</v>
      </c>
      <c r="I304" s="20">
        <v>1522.0</v>
      </c>
    </row>
    <row r="305">
      <c r="A305" s="20">
        <v>50000.0</v>
      </c>
      <c r="B305" s="20">
        <v>512.0</v>
      </c>
      <c r="C305" s="20">
        <v>64.0</v>
      </c>
      <c r="D305" s="20">
        <v>9.008081519E9</v>
      </c>
      <c r="E305" s="20">
        <v>3593704.0</v>
      </c>
      <c r="F305" s="20">
        <v>79980.0</v>
      </c>
      <c r="G305" s="20">
        <v>79980.0</v>
      </c>
      <c r="H305" s="20">
        <v>645232.0</v>
      </c>
      <c r="I305" s="20">
        <v>1599.0</v>
      </c>
    </row>
    <row r="306">
      <c r="A306" s="20">
        <v>50000.0</v>
      </c>
      <c r="B306" s="20">
        <v>512.0</v>
      </c>
      <c r="C306" s="20">
        <v>128.0</v>
      </c>
      <c r="D306" s="20">
        <v>9.006023445E9</v>
      </c>
      <c r="E306" s="20">
        <v>3621424.0</v>
      </c>
      <c r="F306" s="20">
        <v>78978.0</v>
      </c>
      <c r="G306" s="20">
        <v>78978.0</v>
      </c>
      <c r="H306" s="20">
        <v>553204.0</v>
      </c>
      <c r="I306" s="20">
        <v>1905.0</v>
      </c>
    </row>
    <row r="307">
      <c r="A307" s="20">
        <v>100000.0</v>
      </c>
      <c r="B307" s="20">
        <v>512.0</v>
      </c>
      <c r="C307" s="20">
        <v>8.0</v>
      </c>
      <c r="D307" s="20">
        <v>1.7998429093E10</v>
      </c>
      <c r="E307" s="20">
        <v>7124177.0</v>
      </c>
      <c r="F307" s="20">
        <v>143645.0</v>
      </c>
      <c r="G307" s="20">
        <v>143645.0</v>
      </c>
      <c r="H307" s="20">
        <v>726413.0</v>
      </c>
      <c r="I307" s="20">
        <v>2735.0</v>
      </c>
    </row>
    <row r="308">
      <c r="A308" s="20">
        <v>100000.0</v>
      </c>
      <c r="B308" s="20">
        <v>512.0</v>
      </c>
      <c r="C308" s="20">
        <v>16.0</v>
      </c>
      <c r="D308" s="20">
        <v>1.7996844401E10</v>
      </c>
      <c r="E308" s="20">
        <v>7143437.0</v>
      </c>
      <c r="F308" s="20">
        <v>142016.0</v>
      </c>
      <c r="G308" s="20">
        <v>142016.0</v>
      </c>
      <c r="H308" s="20">
        <v>716594.0</v>
      </c>
      <c r="I308" s="20">
        <v>1828.0</v>
      </c>
    </row>
    <row r="309">
      <c r="A309" s="20">
        <v>100000.0</v>
      </c>
      <c r="B309" s="20">
        <v>512.0</v>
      </c>
      <c r="C309" s="20">
        <v>32.0</v>
      </c>
      <c r="D309" s="20">
        <v>1.7992801122E10</v>
      </c>
      <c r="E309" s="20">
        <v>7125191.0</v>
      </c>
      <c r="F309" s="20">
        <v>141288.0</v>
      </c>
      <c r="G309" s="20">
        <v>141288.0</v>
      </c>
      <c r="H309" s="20">
        <v>691438.0</v>
      </c>
      <c r="I309" s="20">
        <v>1534.0</v>
      </c>
    </row>
    <row r="310">
      <c r="A310" s="20">
        <v>100000.0</v>
      </c>
      <c r="B310" s="20">
        <v>512.0</v>
      </c>
      <c r="C310" s="20">
        <v>64.0</v>
      </c>
      <c r="D310" s="20">
        <v>1.7995690092E10</v>
      </c>
      <c r="E310" s="20">
        <v>7131815.0</v>
      </c>
      <c r="F310" s="20">
        <v>143341.0</v>
      </c>
      <c r="G310" s="20">
        <v>143341.0</v>
      </c>
      <c r="H310" s="20">
        <v>645214.0</v>
      </c>
      <c r="I310" s="20">
        <v>1608.0</v>
      </c>
    </row>
    <row r="311">
      <c r="A311" s="20">
        <v>100000.0</v>
      </c>
      <c r="B311" s="20">
        <v>512.0</v>
      </c>
      <c r="C311" s="20">
        <v>128.0</v>
      </c>
      <c r="D311" s="20">
        <v>1.7992621369E10</v>
      </c>
      <c r="E311" s="20">
        <v>7190962.0</v>
      </c>
      <c r="F311" s="20">
        <v>147653.0</v>
      </c>
      <c r="G311" s="20">
        <v>147653.0</v>
      </c>
      <c r="H311" s="20">
        <v>553218.0</v>
      </c>
      <c r="I311" s="20">
        <v>1956.0</v>
      </c>
    </row>
    <row r="312">
      <c r="A312" s="20">
        <v>300000.0</v>
      </c>
      <c r="B312" s="20">
        <v>512.0</v>
      </c>
      <c r="C312" s="20">
        <v>8.0</v>
      </c>
      <c r="D312" s="20">
        <v>5.3942461456E10</v>
      </c>
      <c r="E312" s="20">
        <v>2.1286732E7</v>
      </c>
      <c r="F312" s="20">
        <v>383970.0</v>
      </c>
      <c r="G312" s="20">
        <v>383970.0</v>
      </c>
      <c r="H312" s="20">
        <v>726375.0</v>
      </c>
      <c r="I312" s="20">
        <v>2788.0</v>
      </c>
    </row>
    <row r="313">
      <c r="A313" s="20">
        <v>300000.0</v>
      </c>
      <c r="B313" s="20">
        <v>512.0</v>
      </c>
      <c r="C313" s="20">
        <v>16.0</v>
      </c>
      <c r="D313" s="20">
        <v>5.3933361816E10</v>
      </c>
      <c r="E313" s="20">
        <v>2.1181725E7</v>
      </c>
      <c r="F313" s="20">
        <v>383369.0</v>
      </c>
      <c r="G313" s="20">
        <v>383369.0</v>
      </c>
      <c r="H313" s="20">
        <v>715757.0</v>
      </c>
      <c r="I313" s="20">
        <v>1961.0</v>
      </c>
    </row>
    <row r="314">
      <c r="A314" s="20">
        <v>300000.0</v>
      </c>
      <c r="B314" s="20">
        <v>512.0</v>
      </c>
      <c r="C314" s="20">
        <v>32.0</v>
      </c>
      <c r="D314" s="20">
        <v>5.3929248975E10</v>
      </c>
      <c r="E314" s="20">
        <v>2.1158552E7</v>
      </c>
      <c r="F314" s="20">
        <v>386411.0</v>
      </c>
      <c r="G314" s="20">
        <v>386411.0</v>
      </c>
      <c r="H314" s="20">
        <v>691470.0</v>
      </c>
      <c r="I314" s="20">
        <v>1582.0</v>
      </c>
    </row>
    <row r="315">
      <c r="A315" s="20">
        <v>300000.0</v>
      </c>
      <c r="B315" s="20">
        <v>512.0</v>
      </c>
      <c r="C315" s="20">
        <v>64.0</v>
      </c>
      <c r="D315" s="20">
        <v>5.3926709307E10</v>
      </c>
      <c r="E315" s="20">
        <v>2.1187576E7</v>
      </c>
      <c r="F315" s="20">
        <v>399567.0</v>
      </c>
      <c r="G315" s="20">
        <v>399567.0</v>
      </c>
      <c r="H315" s="20">
        <v>645235.0</v>
      </c>
      <c r="I315" s="20">
        <v>1636.0</v>
      </c>
    </row>
    <row r="316">
      <c r="A316" s="20">
        <v>300000.0</v>
      </c>
      <c r="B316" s="20">
        <v>512.0</v>
      </c>
      <c r="C316" s="20">
        <v>128.0</v>
      </c>
      <c r="D316" s="20">
        <v>5.3933030946E10</v>
      </c>
      <c r="E316" s="20">
        <v>2.1186625E7</v>
      </c>
      <c r="F316" s="20">
        <v>408438.0</v>
      </c>
      <c r="G316" s="20">
        <v>408438.0</v>
      </c>
      <c r="H316" s="20">
        <v>553227.0</v>
      </c>
      <c r="I316" s="20">
        <v>1938.0</v>
      </c>
    </row>
    <row r="317">
      <c r="A317" s="20">
        <v>500000.0</v>
      </c>
      <c r="B317" s="20">
        <v>512.0</v>
      </c>
      <c r="C317" s="20">
        <v>8.0</v>
      </c>
      <c r="D317" s="20">
        <v>8.9881413095E10</v>
      </c>
      <c r="E317" s="20">
        <v>3.5340161E7</v>
      </c>
      <c r="F317" s="20">
        <v>646859.0</v>
      </c>
      <c r="G317" s="20">
        <v>646859.0</v>
      </c>
      <c r="H317" s="20">
        <v>726273.0</v>
      </c>
      <c r="I317" s="20">
        <v>2763.0</v>
      </c>
    </row>
    <row r="318">
      <c r="A318" s="20">
        <v>500000.0</v>
      </c>
      <c r="B318" s="20">
        <v>512.0</v>
      </c>
      <c r="C318" s="20">
        <v>16.0</v>
      </c>
      <c r="D318" s="20">
        <v>8.9881796402E10</v>
      </c>
      <c r="E318" s="20">
        <v>3.5333648E7</v>
      </c>
      <c r="F318" s="20">
        <v>653423.0</v>
      </c>
      <c r="G318" s="20">
        <v>653423.0</v>
      </c>
      <c r="H318" s="20">
        <v>715758.0</v>
      </c>
      <c r="I318" s="20">
        <v>1969.0</v>
      </c>
    </row>
    <row r="319">
      <c r="A319" s="20">
        <v>500000.0</v>
      </c>
      <c r="B319" s="20">
        <v>512.0</v>
      </c>
      <c r="C319" s="20">
        <v>32.0</v>
      </c>
      <c r="D319" s="20">
        <v>8.9877898487E10</v>
      </c>
      <c r="E319" s="20">
        <v>3.5319548E7</v>
      </c>
      <c r="F319" s="20">
        <v>650214.0</v>
      </c>
      <c r="G319" s="20">
        <v>650214.0</v>
      </c>
      <c r="H319" s="20">
        <v>691419.0</v>
      </c>
      <c r="I319" s="20">
        <v>1583.0</v>
      </c>
    </row>
    <row r="320">
      <c r="A320" s="20">
        <v>500000.0</v>
      </c>
      <c r="B320" s="20">
        <v>512.0</v>
      </c>
      <c r="C320" s="20">
        <v>64.0</v>
      </c>
      <c r="D320" s="20">
        <v>8.9876168939E10</v>
      </c>
      <c r="E320" s="20">
        <v>3.5123087E7</v>
      </c>
      <c r="F320" s="20">
        <v>656243.0</v>
      </c>
      <c r="G320" s="20">
        <v>656243.0</v>
      </c>
      <c r="H320" s="20">
        <v>645234.0</v>
      </c>
      <c r="I320" s="20">
        <v>1627.0</v>
      </c>
    </row>
    <row r="321">
      <c r="A321" s="20">
        <v>500000.0</v>
      </c>
      <c r="B321" s="20">
        <v>512.0</v>
      </c>
      <c r="C321" s="20">
        <v>128.0</v>
      </c>
      <c r="D321" s="20">
        <v>8.9875630072E10</v>
      </c>
      <c r="E321" s="20">
        <v>3.5458211E7</v>
      </c>
      <c r="F321" s="20">
        <v>662741.0</v>
      </c>
      <c r="G321" s="20">
        <v>662741.0</v>
      </c>
      <c r="H321" s="20">
        <v>553224.0</v>
      </c>
      <c r="I321" s="20">
        <v>1896.0</v>
      </c>
    </row>
    <row r="322">
      <c r="A322" s="56"/>
      <c r="B322" s="56"/>
      <c r="C322" s="56"/>
      <c r="D322" s="56"/>
      <c r="E322" s="56"/>
      <c r="F322" s="56"/>
      <c r="G322" s="56"/>
      <c r="H322" s="56"/>
      <c r="I322" s="5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124</v>
      </c>
      <c r="B1" s="20" t="s">
        <v>125</v>
      </c>
      <c r="C1" s="20"/>
      <c r="D1" s="20"/>
    </row>
    <row r="2">
      <c r="A2" s="20" t="s">
        <v>107</v>
      </c>
      <c r="B2" s="20" t="s">
        <v>99</v>
      </c>
      <c r="C2" s="20" t="s">
        <v>109</v>
      </c>
      <c r="D2" s="20" t="s">
        <v>101</v>
      </c>
      <c r="E2" s="23" t="s">
        <v>126</v>
      </c>
      <c r="G2" s="23" t="s">
        <v>127</v>
      </c>
    </row>
    <row r="3">
      <c r="A3" s="20">
        <v>10000.0</v>
      </c>
      <c r="B3" s="20">
        <v>128.0</v>
      </c>
      <c r="C3" s="20">
        <v>4.54848012E8</v>
      </c>
      <c r="D3" s="20">
        <v>543.0</v>
      </c>
      <c r="E3" s="29" t="str">
        <f t="shared" ref="E3:E10" si="1">A3 &amp; "," &amp;B3</f>
        <v>10000,128</v>
      </c>
      <c r="G3" s="23">
        <v>4.54848012E8</v>
      </c>
    </row>
    <row r="4">
      <c r="A4" s="20">
        <v>10000.0</v>
      </c>
      <c r="B4" s="20">
        <v>256.0</v>
      </c>
      <c r="C4" s="20">
        <v>9.05196905E8</v>
      </c>
      <c r="D4" s="20">
        <v>1210.0</v>
      </c>
      <c r="E4" s="29" t="str">
        <f t="shared" si="1"/>
        <v>10000,256</v>
      </c>
      <c r="G4" s="23">
        <v>9.05196905E8</v>
      </c>
    </row>
    <row r="5">
      <c r="A5" s="20">
        <v>10000.0</v>
      </c>
      <c r="B5" s="20">
        <v>512.0</v>
      </c>
      <c r="C5" s="20">
        <v>1.806046863E9</v>
      </c>
      <c r="D5" s="20">
        <v>2582.0</v>
      </c>
      <c r="E5" s="29" t="str">
        <f t="shared" si="1"/>
        <v>10000,512</v>
      </c>
      <c r="G5" s="23">
        <v>1.806046863E9</v>
      </c>
    </row>
    <row r="6">
      <c r="A6" s="20">
        <v>10000.0</v>
      </c>
      <c r="B6" s="20">
        <v>768.0</v>
      </c>
      <c r="C6" s="20">
        <v>2.706434435E9</v>
      </c>
      <c r="D6" s="20">
        <v>3907.0</v>
      </c>
      <c r="E6" s="29" t="str">
        <f t="shared" si="1"/>
        <v>10000,768</v>
      </c>
      <c r="G6" s="23">
        <v>2.706434435E9</v>
      </c>
    </row>
    <row r="7">
      <c r="A7" s="20">
        <v>32128.0</v>
      </c>
      <c r="B7" s="20">
        <v>128.0</v>
      </c>
      <c r="C7" s="20">
        <v>1.445739785E9</v>
      </c>
      <c r="D7" s="20">
        <v>651.0</v>
      </c>
      <c r="E7" s="29" t="str">
        <f t="shared" si="1"/>
        <v>32128,128</v>
      </c>
      <c r="G7" s="23">
        <v>1.445739785E9</v>
      </c>
    </row>
    <row r="8">
      <c r="A8" s="20">
        <v>32128.0</v>
      </c>
      <c r="B8" s="20">
        <v>256.0</v>
      </c>
      <c r="C8" s="20">
        <v>2.895832005E9</v>
      </c>
      <c r="D8" s="20">
        <v>1420.0</v>
      </c>
      <c r="E8" s="29" t="str">
        <f t="shared" si="1"/>
        <v>32128,256</v>
      </c>
      <c r="G8" s="23">
        <v>2.895832005E9</v>
      </c>
    </row>
    <row r="9">
      <c r="A9" s="20">
        <v>32128.0</v>
      </c>
      <c r="B9" s="20">
        <v>512.0</v>
      </c>
      <c r="C9" s="20">
        <v>5.768361203E9</v>
      </c>
      <c r="D9" s="20">
        <v>3289.0</v>
      </c>
      <c r="E9" s="29" t="str">
        <f t="shared" si="1"/>
        <v>32128,512</v>
      </c>
      <c r="G9" s="23">
        <v>5.768361203E9</v>
      </c>
    </row>
    <row r="10">
      <c r="A10" s="20">
        <v>32128.0</v>
      </c>
      <c r="B10" s="20">
        <v>768.0</v>
      </c>
      <c r="C10" s="20">
        <v>8.652312169E9</v>
      </c>
      <c r="D10" s="20">
        <v>4972.0</v>
      </c>
      <c r="E10" s="29" t="str">
        <f t="shared" si="1"/>
        <v>32128,768</v>
      </c>
      <c r="G10" s="23">
        <v>8.652312169E9</v>
      </c>
    </row>
    <row r="11">
      <c r="A11" s="20">
        <v>50000.0</v>
      </c>
      <c r="B11" s="20">
        <v>128.0</v>
      </c>
      <c r="C11" s="20">
        <v>2.252370876E9</v>
      </c>
      <c r="D11" s="20">
        <v>678.0</v>
      </c>
      <c r="E11" s="23" t="s">
        <v>128</v>
      </c>
      <c r="G11" s="23">
        <v>2.252370876E9</v>
      </c>
    </row>
    <row r="12">
      <c r="A12" s="20">
        <v>50000.0</v>
      </c>
      <c r="B12" s="20">
        <v>256.0</v>
      </c>
      <c r="C12" s="20">
        <v>4.502042806E9</v>
      </c>
      <c r="D12" s="20">
        <v>1383.0</v>
      </c>
      <c r="E12" s="29" t="str">
        <f t="shared" ref="E12:E26" si="2">A12 &amp; "," &amp;B12</f>
        <v>50000,256</v>
      </c>
      <c r="G12" s="23">
        <v>4.502042806E9</v>
      </c>
    </row>
    <row r="13">
      <c r="A13" s="20">
        <v>50000.0</v>
      </c>
      <c r="B13" s="20">
        <v>512.0</v>
      </c>
      <c r="C13" s="20">
        <v>8.977194409E9</v>
      </c>
      <c r="D13" s="20">
        <v>3174.0</v>
      </c>
      <c r="E13" s="29" t="str">
        <f t="shared" si="2"/>
        <v>50000,512</v>
      </c>
      <c r="G13" s="23">
        <v>8.977194409E9</v>
      </c>
    </row>
    <row r="14">
      <c r="A14" s="20">
        <v>50000.0</v>
      </c>
      <c r="B14" s="20">
        <v>768.0</v>
      </c>
      <c r="C14" s="20">
        <v>1.3460574255E10</v>
      </c>
      <c r="D14" s="20">
        <v>4899.0</v>
      </c>
      <c r="E14" s="29" t="str">
        <f t="shared" si="2"/>
        <v>50000,768</v>
      </c>
      <c r="G14" s="23">
        <v>1.3460574255E10</v>
      </c>
    </row>
    <row r="15">
      <c r="A15" s="20">
        <v>100000.0</v>
      </c>
      <c r="B15" s="20">
        <v>128.0</v>
      </c>
      <c r="C15" s="20">
        <v>4.494679571E9</v>
      </c>
      <c r="D15" s="20">
        <v>726.0</v>
      </c>
      <c r="E15" s="29" t="str">
        <f t="shared" si="2"/>
        <v>100000,128</v>
      </c>
      <c r="G15" s="23">
        <v>4.494679571E9</v>
      </c>
    </row>
    <row r="16">
      <c r="A16" s="20">
        <v>100000.0</v>
      </c>
      <c r="B16" s="20">
        <v>256.0</v>
      </c>
      <c r="C16" s="20">
        <v>8.994494305E9</v>
      </c>
      <c r="D16" s="20">
        <v>1580.0</v>
      </c>
      <c r="E16" s="29" t="str">
        <f t="shared" si="2"/>
        <v>100000,256</v>
      </c>
      <c r="G16" s="23">
        <v>8.994494305E9</v>
      </c>
    </row>
    <row r="17">
      <c r="A17" s="20">
        <v>100000.0</v>
      </c>
      <c r="B17" s="20">
        <v>512.0</v>
      </c>
      <c r="C17" s="20">
        <v>1.7939392296E10</v>
      </c>
      <c r="D17" s="20">
        <v>3038.0</v>
      </c>
      <c r="E17" s="29" t="str">
        <f t="shared" si="2"/>
        <v>100000,512</v>
      </c>
      <c r="G17" s="23">
        <v>1.7939392296E10</v>
      </c>
    </row>
    <row r="18">
      <c r="A18" s="20">
        <v>100000.0</v>
      </c>
      <c r="B18" s="20">
        <v>768.0</v>
      </c>
      <c r="C18" s="20">
        <v>2.6907050402E10</v>
      </c>
      <c r="D18" s="20">
        <v>5354.0</v>
      </c>
      <c r="E18" s="29" t="str">
        <f t="shared" si="2"/>
        <v>100000,768</v>
      </c>
      <c r="G18" s="23">
        <v>2.6907050402E10</v>
      </c>
    </row>
    <row r="19">
      <c r="A19" s="20">
        <v>300000.0</v>
      </c>
      <c r="B19" s="20">
        <v>128.0</v>
      </c>
      <c r="C19" s="20">
        <v>1.3476456355E10</v>
      </c>
      <c r="D19" s="20">
        <v>758.0</v>
      </c>
      <c r="E19" s="29" t="str">
        <f t="shared" si="2"/>
        <v>300000,128</v>
      </c>
      <c r="G19" s="23">
        <v>1.3476456355E10</v>
      </c>
    </row>
    <row r="20">
      <c r="A20" s="20">
        <v>300000.0</v>
      </c>
      <c r="B20" s="20">
        <v>256.0</v>
      </c>
      <c r="C20" s="20">
        <v>2.6935074223E10</v>
      </c>
      <c r="D20" s="20">
        <v>1423.0</v>
      </c>
      <c r="E20" s="29" t="str">
        <f t="shared" si="2"/>
        <v>300000,256</v>
      </c>
      <c r="G20" s="23">
        <v>2.6935074223E10</v>
      </c>
    </row>
    <row r="21">
      <c r="A21" s="20">
        <v>300000.0</v>
      </c>
      <c r="B21" s="20">
        <v>512.0</v>
      </c>
      <c r="C21" s="20">
        <v>5.3873852542E10</v>
      </c>
      <c r="D21" s="20">
        <v>2733.0</v>
      </c>
      <c r="E21" s="29" t="str">
        <f t="shared" si="2"/>
        <v>300000,512</v>
      </c>
      <c r="G21" s="23">
        <v>5.3873852542E10</v>
      </c>
    </row>
    <row r="22">
      <c r="A22" s="20">
        <v>300000.0</v>
      </c>
      <c r="B22" s="20">
        <v>768.0</v>
      </c>
      <c r="C22" s="20">
        <v>8.0795077894E10</v>
      </c>
      <c r="D22" s="20">
        <v>4912.0</v>
      </c>
      <c r="E22" s="29" t="str">
        <f t="shared" si="2"/>
        <v>300000,768</v>
      </c>
      <c r="G22" s="23">
        <v>8.0795077894E10</v>
      </c>
    </row>
    <row r="23">
      <c r="A23" s="20">
        <v>500000.0</v>
      </c>
      <c r="B23" s="20">
        <v>128.0</v>
      </c>
      <c r="C23" s="20">
        <v>2.2441445648E10</v>
      </c>
      <c r="D23" s="20">
        <v>788.0</v>
      </c>
      <c r="E23" s="29" t="str">
        <f t="shared" si="2"/>
        <v>500000,128</v>
      </c>
      <c r="G23" s="23">
        <v>2.2441445648E10</v>
      </c>
    </row>
    <row r="24">
      <c r="A24" s="20">
        <v>500000.0</v>
      </c>
      <c r="B24" s="20">
        <v>256.0</v>
      </c>
      <c r="C24" s="20">
        <v>4.4838481033E10</v>
      </c>
      <c r="D24" s="20">
        <v>1803.0</v>
      </c>
      <c r="E24" s="29" t="str">
        <f t="shared" si="2"/>
        <v>500000,256</v>
      </c>
      <c r="G24" s="23">
        <v>4.4838481033E10</v>
      </c>
    </row>
    <row r="25">
      <c r="A25" s="20">
        <v>500000.0</v>
      </c>
      <c r="B25" s="20">
        <v>512.0</v>
      </c>
      <c r="C25" s="20">
        <v>8.9762114404E10</v>
      </c>
      <c r="D25" s="20">
        <v>2833.0</v>
      </c>
      <c r="E25" s="29" t="str">
        <f t="shared" si="2"/>
        <v>500000,512</v>
      </c>
      <c r="G25" s="23">
        <v>8.9762114404E10</v>
      </c>
    </row>
    <row r="26">
      <c r="A26" s="20">
        <v>500000.0</v>
      </c>
      <c r="B26" s="20">
        <v>768.0</v>
      </c>
      <c r="C26" s="20">
        <v>1.34648279271E11</v>
      </c>
      <c r="D26" s="20">
        <v>5397.0</v>
      </c>
      <c r="E26" s="29" t="str">
        <f t="shared" si="2"/>
        <v>500000,768</v>
      </c>
      <c r="G26" s="23">
        <v>1.34648279271E11</v>
      </c>
    </row>
    <row r="27">
      <c r="A27" s="56"/>
      <c r="B27" s="56"/>
      <c r="C27" s="56"/>
      <c r="D27" s="56"/>
    </row>
    <row r="28">
      <c r="A28" s="20" t="s">
        <v>125</v>
      </c>
      <c r="B28" s="20" t="s">
        <v>129</v>
      </c>
      <c r="C28" s="20" t="s">
        <v>130</v>
      </c>
      <c r="D28" s="20"/>
    </row>
    <row r="29">
      <c r="A29" s="56"/>
      <c r="B29" s="56"/>
      <c r="C29" s="56"/>
      <c r="D29" s="56"/>
    </row>
    <row r="30">
      <c r="A30" s="20" t="s">
        <v>107</v>
      </c>
      <c r="B30" s="20" t="s">
        <v>99</v>
      </c>
      <c r="C30" s="20" t="s">
        <v>109</v>
      </c>
      <c r="D30" s="20" t="s">
        <v>101</v>
      </c>
      <c r="E30" s="23" t="s">
        <v>126</v>
      </c>
      <c r="F30" s="23" t="s">
        <v>130</v>
      </c>
      <c r="G30" s="23" t="s">
        <v>130</v>
      </c>
    </row>
    <row r="31">
      <c r="A31" s="20">
        <v>10000.0</v>
      </c>
      <c r="B31" s="20">
        <v>128.0</v>
      </c>
      <c r="C31" s="20">
        <v>4.52399934E8</v>
      </c>
      <c r="D31" s="20">
        <v>156.0</v>
      </c>
      <c r="E31" s="29" t="str">
        <f t="shared" ref="E31:E38" si="3">A31 &amp; "," &amp;B31</f>
        <v>10000,128</v>
      </c>
      <c r="F31" s="29">
        <f t="shared" ref="F31:F54" si="4">$D3/$D31</f>
        <v>3.480769231</v>
      </c>
      <c r="G31" s="23">
        <v>4.52399934E8</v>
      </c>
    </row>
    <row r="32">
      <c r="A32" s="20">
        <v>10000.0</v>
      </c>
      <c r="B32" s="20">
        <v>256.0</v>
      </c>
      <c r="C32" s="20">
        <v>8.99972894E8</v>
      </c>
      <c r="D32" s="20">
        <v>345.0</v>
      </c>
      <c r="E32" s="29" t="str">
        <f t="shared" si="3"/>
        <v>10000,256</v>
      </c>
      <c r="F32" s="29">
        <f t="shared" si="4"/>
        <v>3.507246377</v>
      </c>
      <c r="G32" s="23">
        <v>8.99972894E8</v>
      </c>
    </row>
    <row r="33">
      <c r="A33" s="20">
        <v>10000.0</v>
      </c>
      <c r="B33" s="20">
        <v>512.0</v>
      </c>
      <c r="C33" s="20">
        <v>1.798873675E9</v>
      </c>
      <c r="D33" s="20">
        <v>691.0</v>
      </c>
      <c r="E33" s="29" t="str">
        <f t="shared" si="3"/>
        <v>10000,512</v>
      </c>
      <c r="F33" s="29">
        <f t="shared" si="4"/>
        <v>3.736613603</v>
      </c>
      <c r="G33" s="23">
        <v>1.798873675E9</v>
      </c>
    </row>
    <row r="34">
      <c r="A34" s="20">
        <v>10000.0</v>
      </c>
      <c r="B34" s="20">
        <v>768.0</v>
      </c>
      <c r="C34" s="20">
        <v>2.691938776E9</v>
      </c>
      <c r="D34" s="20">
        <v>1006.0</v>
      </c>
      <c r="E34" s="29" t="str">
        <f t="shared" si="3"/>
        <v>10000,768</v>
      </c>
      <c r="F34" s="29">
        <f t="shared" si="4"/>
        <v>3.883697813</v>
      </c>
      <c r="G34" s="23">
        <v>2.691938776E9</v>
      </c>
    </row>
    <row r="35">
      <c r="A35" s="20">
        <v>32128.0</v>
      </c>
      <c r="B35" s="20">
        <v>128.0</v>
      </c>
      <c r="C35" s="20">
        <v>1.442967374E9</v>
      </c>
      <c r="D35" s="20">
        <v>313.0</v>
      </c>
      <c r="E35" s="29" t="str">
        <f t="shared" si="3"/>
        <v>32128,128</v>
      </c>
      <c r="F35" s="29">
        <f t="shared" si="4"/>
        <v>2.079872204</v>
      </c>
      <c r="G35" s="23">
        <v>1.442967374E9</v>
      </c>
    </row>
    <row r="36">
      <c r="A36" s="20">
        <v>32128.0</v>
      </c>
      <c r="B36" s="20">
        <v>256.0</v>
      </c>
      <c r="C36" s="20">
        <v>2.882909235E9</v>
      </c>
      <c r="D36" s="20">
        <v>389.0</v>
      </c>
      <c r="E36" s="29" t="str">
        <f t="shared" si="3"/>
        <v>32128,256</v>
      </c>
      <c r="F36" s="29">
        <f t="shared" si="4"/>
        <v>3.650385604</v>
      </c>
      <c r="G36" s="23">
        <v>2.882909235E9</v>
      </c>
    </row>
    <row r="37">
      <c r="A37" s="20">
        <v>32128.0</v>
      </c>
      <c r="B37" s="20">
        <v>512.0</v>
      </c>
      <c r="C37" s="20">
        <v>5.757937789E9</v>
      </c>
      <c r="D37" s="20">
        <v>765.0</v>
      </c>
      <c r="E37" s="29" t="str">
        <f t="shared" si="3"/>
        <v>32128,512</v>
      </c>
      <c r="F37" s="29">
        <f t="shared" si="4"/>
        <v>4.299346405</v>
      </c>
      <c r="G37" s="23">
        <v>5.757937789E9</v>
      </c>
    </row>
    <row r="38">
      <c r="A38" s="20">
        <v>32128.0</v>
      </c>
      <c r="B38" s="20">
        <v>768.0</v>
      </c>
      <c r="C38" s="20">
        <v>8.641504817E9</v>
      </c>
      <c r="D38" s="20">
        <v>1526.0</v>
      </c>
      <c r="E38" s="29" t="str">
        <f t="shared" si="3"/>
        <v>32128,768</v>
      </c>
      <c r="F38" s="29">
        <f t="shared" si="4"/>
        <v>3.25819135</v>
      </c>
      <c r="G38" s="23">
        <v>8.641504817E9</v>
      </c>
    </row>
    <row r="39">
      <c r="A39" s="20">
        <v>50000.0</v>
      </c>
      <c r="B39" s="20">
        <v>128.0</v>
      </c>
      <c r="C39" s="20">
        <v>2.242845649E9</v>
      </c>
      <c r="D39" s="20">
        <v>239.0</v>
      </c>
      <c r="E39" s="23" t="s">
        <v>128</v>
      </c>
      <c r="F39" s="29">
        <f t="shared" si="4"/>
        <v>2.836820084</v>
      </c>
      <c r="G39" s="23">
        <v>2.242845649E9</v>
      </c>
    </row>
    <row r="40">
      <c r="A40" s="20">
        <v>50000.0</v>
      </c>
      <c r="B40" s="20">
        <v>256.0</v>
      </c>
      <c r="C40" s="20">
        <v>4.484466562E9</v>
      </c>
      <c r="D40" s="20">
        <v>573.0</v>
      </c>
      <c r="E40" s="29" t="str">
        <f t="shared" ref="E40:E54" si="5">A40 &amp; "," &amp;B40</f>
        <v>50000,256</v>
      </c>
      <c r="F40" s="29">
        <f t="shared" si="4"/>
        <v>2.413612565</v>
      </c>
      <c r="G40" s="23">
        <v>4.484466562E9</v>
      </c>
    </row>
    <row r="41">
      <c r="A41" s="20">
        <v>50000.0</v>
      </c>
      <c r="B41" s="20">
        <v>512.0</v>
      </c>
      <c r="C41" s="20">
        <v>8.960161597E9</v>
      </c>
      <c r="D41" s="20">
        <v>1026.0</v>
      </c>
      <c r="E41" s="29" t="str">
        <f t="shared" si="5"/>
        <v>50000,512</v>
      </c>
      <c r="F41" s="29">
        <f t="shared" si="4"/>
        <v>3.093567251</v>
      </c>
      <c r="G41" s="23">
        <v>8.960161597E9</v>
      </c>
    </row>
    <row r="42">
      <c r="A42" s="20">
        <v>50000.0</v>
      </c>
      <c r="B42" s="20">
        <v>768.0</v>
      </c>
      <c r="C42" s="20">
        <v>1.3445162469E10</v>
      </c>
      <c r="D42" s="20">
        <v>1112.0</v>
      </c>
      <c r="E42" s="29" t="str">
        <f t="shared" si="5"/>
        <v>50000,768</v>
      </c>
      <c r="F42" s="29">
        <f t="shared" si="4"/>
        <v>4.40557554</v>
      </c>
      <c r="G42" s="23">
        <v>1.3445162469E10</v>
      </c>
    </row>
    <row r="43">
      <c r="A43" s="20">
        <v>100000.0</v>
      </c>
      <c r="B43" s="20">
        <v>128.0</v>
      </c>
      <c r="C43" s="20">
        <v>4.482961431E9</v>
      </c>
      <c r="D43" s="20">
        <v>237.0</v>
      </c>
      <c r="E43" s="29" t="str">
        <f t="shared" si="5"/>
        <v>100000,128</v>
      </c>
      <c r="F43" s="29">
        <f t="shared" si="4"/>
        <v>3.063291139</v>
      </c>
      <c r="G43" s="23">
        <v>4.482961431E9</v>
      </c>
    </row>
    <row r="44">
      <c r="A44" s="20">
        <v>100000.0</v>
      </c>
      <c r="B44" s="20">
        <v>256.0</v>
      </c>
      <c r="C44" s="20">
        <v>8.960966973E9</v>
      </c>
      <c r="D44" s="20">
        <v>446.0</v>
      </c>
      <c r="E44" s="29" t="str">
        <f t="shared" si="5"/>
        <v>100000,256</v>
      </c>
      <c r="F44" s="29">
        <f t="shared" si="4"/>
        <v>3.542600897</v>
      </c>
      <c r="G44" s="23">
        <v>8.960966973E9</v>
      </c>
    </row>
    <row r="45">
      <c r="A45" s="20">
        <v>100000.0</v>
      </c>
      <c r="B45" s="20">
        <v>512.0</v>
      </c>
      <c r="C45" s="20">
        <v>1.7922709212E10</v>
      </c>
      <c r="D45" s="20">
        <v>738.0</v>
      </c>
      <c r="E45" s="29" t="str">
        <f t="shared" si="5"/>
        <v>100000,512</v>
      </c>
      <c r="F45" s="29">
        <f t="shared" si="4"/>
        <v>4.116531165</v>
      </c>
      <c r="G45" s="23">
        <v>1.7922709212E10</v>
      </c>
    </row>
    <row r="46">
      <c r="A46" s="20">
        <v>100000.0</v>
      </c>
      <c r="B46" s="20">
        <v>768.0</v>
      </c>
      <c r="C46" s="20">
        <v>2.6881614535E10</v>
      </c>
      <c r="D46" s="20">
        <v>1271.0</v>
      </c>
      <c r="E46" s="29" t="str">
        <f t="shared" si="5"/>
        <v>100000,768</v>
      </c>
      <c r="F46" s="29">
        <f t="shared" si="4"/>
        <v>4.212431157</v>
      </c>
      <c r="G46" s="23">
        <v>2.6881614535E10</v>
      </c>
    </row>
    <row r="47">
      <c r="A47" s="20">
        <v>300000.0</v>
      </c>
      <c r="B47" s="20">
        <v>128.0</v>
      </c>
      <c r="C47" s="20">
        <v>1.3443795553E10</v>
      </c>
      <c r="D47" s="20">
        <v>323.0</v>
      </c>
      <c r="E47" s="29" t="str">
        <f t="shared" si="5"/>
        <v>300000,128</v>
      </c>
      <c r="F47" s="29">
        <f t="shared" si="4"/>
        <v>2.346749226</v>
      </c>
      <c r="G47" s="23">
        <v>1.3443795553E10</v>
      </c>
    </row>
    <row r="48">
      <c r="A48" s="20">
        <v>300000.0</v>
      </c>
      <c r="B48" s="20">
        <v>256.0</v>
      </c>
      <c r="C48" s="20">
        <v>2.688578533E10</v>
      </c>
      <c r="D48" s="20">
        <v>813.0</v>
      </c>
      <c r="E48" s="29" t="str">
        <f t="shared" si="5"/>
        <v>300000,256</v>
      </c>
      <c r="F48" s="29">
        <f t="shared" si="4"/>
        <v>1.750307503</v>
      </c>
      <c r="G48" s="23">
        <v>2.688578533E10</v>
      </c>
    </row>
    <row r="49">
      <c r="A49" s="20">
        <v>300000.0</v>
      </c>
      <c r="B49" s="20">
        <v>512.0</v>
      </c>
      <c r="C49" s="20">
        <v>5.3752440512E10</v>
      </c>
      <c r="D49" s="20">
        <v>918.0</v>
      </c>
      <c r="E49" s="29" t="str">
        <f t="shared" si="5"/>
        <v>300000,512</v>
      </c>
      <c r="F49" s="29">
        <f t="shared" si="4"/>
        <v>2.977124183</v>
      </c>
      <c r="G49" s="23">
        <v>5.3752440512E10</v>
      </c>
    </row>
    <row r="50">
      <c r="A50" s="20">
        <v>300000.0</v>
      </c>
      <c r="B50" s="20">
        <v>768.0</v>
      </c>
      <c r="C50" s="20">
        <v>8.0669117914E10</v>
      </c>
      <c r="D50" s="20">
        <v>1464.0</v>
      </c>
      <c r="E50" s="29" t="str">
        <f t="shared" si="5"/>
        <v>300000,768</v>
      </c>
      <c r="F50" s="29">
        <f t="shared" si="4"/>
        <v>3.355191257</v>
      </c>
      <c r="G50" s="23">
        <v>8.0669117914E10</v>
      </c>
    </row>
    <row r="51">
      <c r="A51" s="20">
        <v>500000.0</v>
      </c>
      <c r="B51" s="20">
        <v>128.0</v>
      </c>
      <c r="C51" s="20">
        <v>2.2398987635E10</v>
      </c>
      <c r="D51" s="20">
        <v>258.0</v>
      </c>
      <c r="E51" s="29" t="str">
        <f t="shared" si="5"/>
        <v>500000,128</v>
      </c>
      <c r="F51" s="29">
        <f t="shared" si="4"/>
        <v>3.054263566</v>
      </c>
      <c r="G51" s="23">
        <v>2.2398987635E10</v>
      </c>
    </row>
    <row r="52">
      <c r="A52" s="20">
        <v>500000.0</v>
      </c>
      <c r="B52" s="20">
        <v>256.0</v>
      </c>
      <c r="C52" s="20">
        <v>4.4806901838E10</v>
      </c>
      <c r="D52" s="20">
        <v>428.0</v>
      </c>
      <c r="E52" s="29" t="str">
        <f t="shared" si="5"/>
        <v>500000,256</v>
      </c>
      <c r="F52" s="29">
        <f t="shared" si="4"/>
        <v>4.212616822</v>
      </c>
      <c r="G52" s="23">
        <v>4.4806901838E10</v>
      </c>
    </row>
    <row r="53">
      <c r="A53" s="20">
        <v>500000.0</v>
      </c>
      <c r="B53" s="20">
        <v>512.0</v>
      </c>
      <c r="C53" s="20">
        <v>8.9649692001E10</v>
      </c>
      <c r="D53" s="20">
        <v>763.0</v>
      </c>
      <c r="E53" s="29" t="str">
        <f t="shared" si="5"/>
        <v>500000,512</v>
      </c>
      <c r="F53" s="29">
        <f t="shared" si="4"/>
        <v>3.712975098</v>
      </c>
      <c r="G53" s="23">
        <v>8.9649692001E10</v>
      </c>
    </row>
    <row r="54">
      <c r="A54" s="20">
        <v>500000.0</v>
      </c>
      <c r="B54" s="20">
        <v>768.0</v>
      </c>
      <c r="C54" s="20">
        <v>1.34594409554E11</v>
      </c>
      <c r="D54" s="20">
        <v>1130.0</v>
      </c>
      <c r="E54" s="29" t="str">
        <f t="shared" si="5"/>
        <v>500000,768</v>
      </c>
      <c r="F54" s="29">
        <f t="shared" si="4"/>
        <v>4.776106195</v>
      </c>
      <c r="G54" s="23">
        <v>1.34594409554E11</v>
      </c>
    </row>
    <row r="55">
      <c r="A55" s="56"/>
      <c r="B55" s="56"/>
      <c r="C55" s="56"/>
      <c r="D55" s="56"/>
    </row>
    <row r="56">
      <c r="A56" s="20" t="s">
        <v>125</v>
      </c>
      <c r="B56" s="20" t="s">
        <v>129</v>
      </c>
      <c r="C56" s="20" t="s">
        <v>131</v>
      </c>
      <c r="D56" s="20"/>
    </row>
    <row r="57">
      <c r="A57" s="56"/>
      <c r="B57" s="56"/>
      <c r="C57" s="56"/>
      <c r="D57" s="56"/>
    </row>
    <row r="58">
      <c r="A58" s="20" t="s">
        <v>107</v>
      </c>
      <c r="B58" s="20" t="s">
        <v>99</v>
      </c>
      <c r="C58" s="20" t="s">
        <v>109</v>
      </c>
      <c r="D58" s="20" t="s">
        <v>101</v>
      </c>
      <c r="E58" s="23" t="s">
        <v>126</v>
      </c>
      <c r="F58" s="23" t="s">
        <v>131</v>
      </c>
      <c r="G58" s="23" t="s">
        <v>131</v>
      </c>
    </row>
    <row r="59">
      <c r="A59" s="20">
        <v>10000.0</v>
      </c>
      <c r="B59" s="20">
        <v>128.0</v>
      </c>
      <c r="C59" s="20">
        <v>4.52603033E8</v>
      </c>
      <c r="D59" s="20">
        <v>357.0</v>
      </c>
      <c r="E59" s="29" t="str">
        <f t="shared" ref="E59:E66" si="6">A59 &amp; "," &amp;B59</f>
        <v>10000,128</v>
      </c>
      <c r="F59" s="29">
        <f t="shared" ref="F59:F82" si="7">$D3/$D59</f>
        <v>1.521008403</v>
      </c>
      <c r="G59" s="23">
        <v>4.52603033E8</v>
      </c>
    </row>
    <row r="60">
      <c r="A60" s="20">
        <v>10000.0</v>
      </c>
      <c r="B60" s="20">
        <v>256.0</v>
      </c>
      <c r="C60" s="20">
        <v>9.01243185E8</v>
      </c>
      <c r="D60" s="20">
        <v>595.0</v>
      </c>
      <c r="E60" s="29" t="str">
        <f t="shared" si="6"/>
        <v>10000,256</v>
      </c>
      <c r="F60" s="29">
        <f t="shared" si="7"/>
        <v>2.033613445</v>
      </c>
      <c r="G60" s="23">
        <v>9.01243185E8</v>
      </c>
    </row>
    <row r="61">
      <c r="A61" s="20">
        <v>10000.0</v>
      </c>
      <c r="B61" s="20">
        <v>512.0</v>
      </c>
      <c r="C61" s="20">
        <v>1.797013959E9</v>
      </c>
      <c r="D61" s="20">
        <v>1315.0</v>
      </c>
      <c r="E61" s="29" t="str">
        <f t="shared" si="6"/>
        <v>10000,512</v>
      </c>
      <c r="F61" s="29">
        <f t="shared" si="7"/>
        <v>1.963498099</v>
      </c>
      <c r="G61" s="23">
        <v>1.797013959E9</v>
      </c>
    </row>
    <row r="62">
      <c r="A62" s="20">
        <v>10000.0</v>
      </c>
      <c r="B62" s="20">
        <v>768.0</v>
      </c>
      <c r="C62" s="20">
        <v>2.694231468E9</v>
      </c>
      <c r="D62" s="20">
        <v>2000.0</v>
      </c>
      <c r="E62" s="29" t="str">
        <f t="shared" si="6"/>
        <v>10000,768</v>
      </c>
      <c r="F62" s="29">
        <f t="shared" si="7"/>
        <v>1.9535</v>
      </c>
      <c r="G62" s="23">
        <v>2.694231468E9</v>
      </c>
    </row>
    <row r="63">
      <c r="A63" s="20">
        <v>32128.0</v>
      </c>
      <c r="B63" s="20">
        <v>128.0</v>
      </c>
      <c r="C63" s="20">
        <v>1.443341263E9</v>
      </c>
      <c r="D63" s="20">
        <v>415.0</v>
      </c>
      <c r="E63" s="29" t="str">
        <f t="shared" si="6"/>
        <v>32128,128</v>
      </c>
      <c r="F63" s="29">
        <f t="shared" si="7"/>
        <v>1.568674699</v>
      </c>
      <c r="G63" s="23">
        <v>1.443341263E9</v>
      </c>
    </row>
    <row r="64">
      <c r="A64" s="20">
        <v>32128.0</v>
      </c>
      <c r="B64" s="20">
        <v>256.0</v>
      </c>
      <c r="C64" s="20">
        <v>2.882327636E9</v>
      </c>
      <c r="D64" s="20">
        <v>671.0</v>
      </c>
      <c r="E64" s="29" t="str">
        <f t="shared" si="6"/>
        <v>32128,256</v>
      </c>
      <c r="F64" s="29">
        <f t="shared" si="7"/>
        <v>2.116244411</v>
      </c>
      <c r="G64" s="23">
        <v>2.882327636E9</v>
      </c>
    </row>
    <row r="65">
      <c r="A65" s="20">
        <v>32128.0</v>
      </c>
      <c r="B65" s="20">
        <v>512.0</v>
      </c>
      <c r="C65" s="20">
        <v>5.759716023E9</v>
      </c>
      <c r="D65" s="20">
        <v>1730.0</v>
      </c>
      <c r="E65" s="29" t="str">
        <f t="shared" si="6"/>
        <v>32128,512</v>
      </c>
      <c r="F65" s="29">
        <f t="shared" si="7"/>
        <v>1.901156069</v>
      </c>
      <c r="G65" s="23">
        <v>5.759716023E9</v>
      </c>
    </row>
    <row r="66">
      <c r="A66" s="20">
        <v>32128.0</v>
      </c>
      <c r="B66" s="20">
        <v>768.0</v>
      </c>
      <c r="C66" s="20">
        <v>8.641163919E9</v>
      </c>
      <c r="D66" s="20">
        <v>2276.0</v>
      </c>
      <c r="E66" s="29" t="str">
        <f t="shared" si="6"/>
        <v>32128,768</v>
      </c>
      <c r="F66" s="29">
        <f t="shared" si="7"/>
        <v>2.184534271</v>
      </c>
      <c r="G66" s="23">
        <v>8.641163919E9</v>
      </c>
    </row>
    <row r="67">
      <c r="A67" s="20">
        <v>50000.0</v>
      </c>
      <c r="B67" s="20">
        <v>128.0</v>
      </c>
      <c r="C67" s="20">
        <v>2.242948238E9</v>
      </c>
      <c r="D67" s="20">
        <v>366.0</v>
      </c>
      <c r="E67" s="23" t="s">
        <v>128</v>
      </c>
      <c r="F67" s="29">
        <f t="shared" si="7"/>
        <v>1.852459016</v>
      </c>
      <c r="G67" s="23">
        <v>2.242948238E9</v>
      </c>
    </row>
    <row r="68">
      <c r="A68" s="20">
        <v>50000.0</v>
      </c>
      <c r="B68" s="20">
        <v>256.0</v>
      </c>
      <c r="C68" s="20">
        <v>4.487676081E9</v>
      </c>
      <c r="D68" s="20">
        <v>725.0</v>
      </c>
      <c r="E68" s="29" t="str">
        <f t="shared" ref="E68:E82" si="8">A68 &amp; "," &amp;B68</f>
        <v>50000,256</v>
      </c>
      <c r="F68" s="29">
        <f t="shared" si="7"/>
        <v>1.907586207</v>
      </c>
      <c r="G68" s="23">
        <v>4.487676081E9</v>
      </c>
    </row>
    <row r="69">
      <c r="A69" s="20">
        <v>50000.0</v>
      </c>
      <c r="B69" s="20">
        <v>512.0</v>
      </c>
      <c r="C69" s="20">
        <v>8.964286055E9</v>
      </c>
      <c r="D69" s="20">
        <v>1731.0</v>
      </c>
      <c r="E69" s="29" t="str">
        <f t="shared" si="8"/>
        <v>50000,512</v>
      </c>
      <c r="F69" s="29">
        <f t="shared" si="7"/>
        <v>1.833622184</v>
      </c>
      <c r="G69" s="23">
        <v>8.964286055E9</v>
      </c>
    </row>
    <row r="70">
      <c r="A70" s="20">
        <v>50000.0</v>
      </c>
      <c r="B70" s="20">
        <v>768.0</v>
      </c>
      <c r="C70" s="20">
        <v>1.3445515053E10</v>
      </c>
      <c r="D70" s="20">
        <v>2078.0</v>
      </c>
      <c r="E70" s="29" t="str">
        <f t="shared" si="8"/>
        <v>50000,768</v>
      </c>
      <c r="F70" s="29">
        <f t="shared" si="7"/>
        <v>2.357555342</v>
      </c>
      <c r="G70" s="23">
        <v>1.3445515053E10</v>
      </c>
    </row>
    <row r="71">
      <c r="A71" s="20">
        <v>100000.0</v>
      </c>
      <c r="B71" s="20">
        <v>128.0</v>
      </c>
      <c r="C71" s="20">
        <v>4.480826827E9</v>
      </c>
      <c r="D71" s="20">
        <v>379.0</v>
      </c>
      <c r="E71" s="29" t="str">
        <f t="shared" si="8"/>
        <v>100000,128</v>
      </c>
      <c r="F71" s="29">
        <f t="shared" si="7"/>
        <v>1.915567282</v>
      </c>
      <c r="G71" s="23">
        <v>4.480826827E9</v>
      </c>
    </row>
    <row r="72">
      <c r="A72" s="20">
        <v>100000.0</v>
      </c>
      <c r="B72" s="20">
        <v>256.0</v>
      </c>
      <c r="C72" s="20">
        <v>8.961815087E9</v>
      </c>
      <c r="D72" s="20">
        <v>990.0</v>
      </c>
      <c r="E72" s="29" t="str">
        <f t="shared" si="8"/>
        <v>100000,256</v>
      </c>
      <c r="F72" s="29">
        <f t="shared" si="7"/>
        <v>1.595959596</v>
      </c>
      <c r="G72" s="23">
        <v>8.961815087E9</v>
      </c>
    </row>
    <row r="73">
      <c r="A73" s="20">
        <v>100000.0</v>
      </c>
      <c r="B73" s="20">
        <v>512.0</v>
      </c>
      <c r="C73" s="20">
        <v>1.7926941721E10</v>
      </c>
      <c r="D73" s="20">
        <v>1511.0</v>
      </c>
      <c r="E73" s="29" t="str">
        <f t="shared" si="8"/>
        <v>100000,512</v>
      </c>
      <c r="F73" s="29">
        <f t="shared" si="7"/>
        <v>2.010589014</v>
      </c>
      <c r="G73" s="23">
        <v>1.7926941721E10</v>
      </c>
    </row>
    <row r="74">
      <c r="A74" s="20">
        <v>100000.0</v>
      </c>
      <c r="B74" s="20">
        <v>768.0</v>
      </c>
      <c r="C74" s="20">
        <v>2.6884952272E10</v>
      </c>
      <c r="D74" s="20">
        <v>2704.0</v>
      </c>
      <c r="E74" s="29" t="str">
        <f t="shared" si="8"/>
        <v>100000,768</v>
      </c>
      <c r="F74" s="29">
        <f t="shared" si="7"/>
        <v>1.980029586</v>
      </c>
      <c r="G74" s="23">
        <v>2.6884952272E10</v>
      </c>
    </row>
    <row r="75">
      <c r="A75" s="20">
        <v>300000.0</v>
      </c>
      <c r="B75" s="20">
        <v>128.0</v>
      </c>
      <c r="C75" s="20">
        <v>1.3443244306E10</v>
      </c>
      <c r="D75" s="20">
        <v>407.0</v>
      </c>
      <c r="E75" s="29" t="str">
        <f t="shared" si="8"/>
        <v>300000,128</v>
      </c>
      <c r="F75" s="29">
        <f t="shared" si="7"/>
        <v>1.862407862</v>
      </c>
      <c r="G75" s="23">
        <v>1.3443244306E10</v>
      </c>
    </row>
    <row r="76">
      <c r="A76" s="20">
        <v>300000.0</v>
      </c>
      <c r="B76" s="20">
        <v>256.0</v>
      </c>
      <c r="C76" s="20">
        <v>2.6881844886E10</v>
      </c>
      <c r="D76" s="20">
        <v>1044.0</v>
      </c>
      <c r="E76" s="29" t="str">
        <f t="shared" si="8"/>
        <v>300000,256</v>
      </c>
      <c r="F76" s="29">
        <f t="shared" si="7"/>
        <v>1.36302682</v>
      </c>
      <c r="G76" s="23">
        <v>2.6881844886E10</v>
      </c>
    </row>
    <row r="77">
      <c r="A77" s="20">
        <v>300000.0</v>
      </c>
      <c r="B77" s="20">
        <v>512.0</v>
      </c>
      <c r="C77" s="20">
        <v>5.3771867749E10</v>
      </c>
      <c r="D77" s="20">
        <v>1520.0</v>
      </c>
      <c r="E77" s="29" t="str">
        <f t="shared" si="8"/>
        <v>300000,512</v>
      </c>
      <c r="F77" s="29">
        <f t="shared" si="7"/>
        <v>1.798026316</v>
      </c>
      <c r="G77" s="23">
        <v>5.3771867749E10</v>
      </c>
    </row>
    <row r="78">
      <c r="A78" s="20">
        <v>300000.0</v>
      </c>
      <c r="B78" s="20">
        <v>768.0</v>
      </c>
      <c r="C78" s="20">
        <v>8.0659515707E10</v>
      </c>
      <c r="D78" s="20">
        <v>2127.0</v>
      </c>
      <c r="E78" s="29" t="str">
        <f t="shared" si="8"/>
        <v>300000,768</v>
      </c>
      <c r="F78" s="29">
        <f t="shared" si="7"/>
        <v>2.3093559</v>
      </c>
      <c r="G78" s="23">
        <v>8.0659515707E10</v>
      </c>
    </row>
    <row r="79">
      <c r="A79" s="20">
        <v>500000.0</v>
      </c>
      <c r="B79" s="20">
        <v>128.0</v>
      </c>
      <c r="C79" s="20">
        <v>2.2410982806E10</v>
      </c>
      <c r="D79" s="20">
        <v>404.0</v>
      </c>
      <c r="E79" s="29" t="str">
        <f t="shared" si="8"/>
        <v>500000,128</v>
      </c>
      <c r="F79" s="29">
        <f t="shared" si="7"/>
        <v>1.95049505</v>
      </c>
      <c r="G79" s="23">
        <v>2.2410982806E10</v>
      </c>
    </row>
    <row r="80">
      <c r="A80" s="20">
        <v>500000.0</v>
      </c>
      <c r="B80" s="20">
        <v>256.0</v>
      </c>
      <c r="C80" s="20">
        <v>4.480356857E10</v>
      </c>
      <c r="D80" s="20">
        <v>745.0</v>
      </c>
      <c r="E80" s="29" t="str">
        <f t="shared" si="8"/>
        <v>500000,256</v>
      </c>
      <c r="F80" s="29">
        <f t="shared" si="7"/>
        <v>2.420134228</v>
      </c>
      <c r="G80" s="23">
        <v>4.480356857E10</v>
      </c>
    </row>
    <row r="81">
      <c r="A81" s="20">
        <v>500000.0</v>
      </c>
      <c r="B81" s="20">
        <v>512.0</v>
      </c>
      <c r="C81" s="20">
        <v>8.9616555408E10</v>
      </c>
      <c r="D81" s="20">
        <v>1433.0</v>
      </c>
      <c r="E81" s="29" t="str">
        <f t="shared" si="8"/>
        <v>500000,512</v>
      </c>
      <c r="F81" s="29">
        <f t="shared" si="7"/>
        <v>1.976971389</v>
      </c>
      <c r="G81" s="23">
        <v>8.9616555408E10</v>
      </c>
    </row>
    <row r="82">
      <c r="A82" s="20">
        <v>500000.0</v>
      </c>
      <c r="B82" s="20">
        <v>768.0</v>
      </c>
      <c r="C82" s="20">
        <v>1.34555611675E11</v>
      </c>
      <c r="D82" s="20">
        <v>2154.0</v>
      </c>
      <c r="E82" s="29" t="str">
        <f t="shared" si="8"/>
        <v>500000,768</v>
      </c>
      <c r="F82" s="29">
        <f t="shared" si="7"/>
        <v>2.505571031</v>
      </c>
      <c r="G82" s="23">
        <v>1.34555611675E11</v>
      </c>
    </row>
    <row r="83">
      <c r="A83" s="56"/>
      <c r="B83" s="56"/>
      <c r="C83" s="56"/>
      <c r="D83" s="56"/>
    </row>
    <row r="84">
      <c r="A84" s="20" t="s">
        <v>125</v>
      </c>
      <c r="B84" s="20" t="s">
        <v>129</v>
      </c>
      <c r="C84" s="20" t="s">
        <v>132</v>
      </c>
      <c r="D84" s="20"/>
    </row>
    <row r="85">
      <c r="A85" s="20" t="s">
        <v>107</v>
      </c>
      <c r="B85" s="20" t="s">
        <v>99</v>
      </c>
      <c r="C85" s="20" t="s">
        <v>109</v>
      </c>
      <c r="D85" s="20" t="s">
        <v>101</v>
      </c>
      <c r="E85" s="23" t="s">
        <v>126</v>
      </c>
      <c r="F85" s="23" t="s">
        <v>132</v>
      </c>
      <c r="G85" s="23" t="s">
        <v>132</v>
      </c>
    </row>
    <row r="86">
      <c r="A86" s="20">
        <v>10000.0</v>
      </c>
      <c r="B86" s="20">
        <v>128.0</v>
      </c>
      <c r="C86" s="20">
        <v>4.5389349E8</v>
      </c>
      <c r="D86" s="20">
        <v>641.0</v>
      </c>
      <c r="E86" s="29" t="str">
        <f t="shared" ref="E86:E93" si="9">A86 &amp; "," &amp;B86</f>
        <v>10000,128</v>
      </c>
      <c r="F86" s="29">
        <f>$D3/$D86</f>
        <v>0.8471138846</v>
      </c>
      <c r="G86" s="23">
        <v>4.5389349E8</v>
      </c>
    </row>
    <row r="87">
      <c r="A87" s="20">
        <v>10000.0</v>
      </c>
      <c r="B87" s="20">
        <v>256.0</v>
      </c>
      <c r="C87" s="20">
        <v>9.03908634E8</v>
      </c>
      <c r="D87" s="20">
        <v>168.0</v>
      </c>
      <c r="E87" s="29" t="str">
        <f t="shared" si="9"/>
        <v>10000,256</v>
      </c>
      <c r="F87" s="23">
        <v>1.304</v>
      </c>
      <c r="G87" s="23">
        <v>9.03908634E8</v>
      </c>
    </row>
    <row r="88">
      <c r="A88" s="20">
        <v>10000.0</v>
      </c>
      <c r="B88" s="20">
        <v>512.0</v>
      </c>
      <c r="C88" s="20">
        <v>1.80273545E9</v>
      </c>
      <c r="D88" s="20">
        <v>2720.0</v>
      </c>
      <c r="E88" s="29" t="str">
        <f t="shared" si="9"/>
        <v>10000,512</v>
      </c>
      <c r="F88" s="29">
        <f t="shared" ref="F88:F90" si="10">$D5/$D88</f>
        <v>0.9492647059</v>
      </c>
      <c r="G88" s="59">
        <v>1.80273545E9</v>
      </c>
    </row>
    <row r="89">
      <c r="A89" s="20">
        <v>10000.0</v>
      </c>
      <c r="B89" s="20">
        <v>768.0</v>
      </c>
      <c r="C89" s="20">
        <v>2.702157385E9</v>
      </c>
      <c r="D89" s="20">
        <v>4118.0</v>
      </c>
      <c r="E89" s="29" t="str">
        <f t="shared" si="9"/>
        <v>10000,768</v>
      </c>
      <c r="F89" s="29">
        <f t="shared" si="10"/>
        <v>0.9487615347</v>
      </c>
      <c r="G89" s="23">
        <v>2.702157385E9</v>
      </c>
    </row>
    <row r="90">
      <c r="A90" s="20">
        <v>32128.0</v>
      </c>
      <c r="B90" s="20">
        <v>128.0</v>
      </c>
      <c r="C90" s="20">
        <v>1.444257492E9</v>
      </c>
      <c r="D90" s="20">
        <v>712.0</v>
      </c>
      <c r="E90" s="29" t="str">
        <f t="shared" si="9"/>
        <v>32128,128</v>
      </c>
      <c r="F90" s="29">
        <f t="shared" si="10"/>
        <v>0.9143258427</v>
      </c>
      <c r="G90" s="23">
        <v>1.444257492E9</v>
      </c>
    </row>
    <row r="91">
      <c r="A91" s="20">
        <v>32128.0</v>
      </c>
      <c r="B91" s="20">
        <v>256.0</v>
      </c>
      <c r="C91" s="20">
        <v>2.891771973E9</v>
      </c>
      <c r="D91" s="20">
        <v>214.0</v>
      </c>
      <c r="E91" s="29" t="str">
        <f t="shared" si="9"/>
        <v>32128,256</v>
      </c>
      <c r="F91" s="23">
        <v>1.221</v>
      </c>
      <c r="G91" s="59">
        <v>2.891771973E9</v>
      </c>
    </row>
    <row r="92">
      <c r="A92" s="20">
        <v>32128.0</v>
      </c>
      <c r="B92" s="20">
        <v>512.0</v>
      </c>
      <c r="C92" s="20">
        <v>5.76460782E9</v>
      </c>
      <c r="D92" s="20">
        <v>3123.0</v>
      </c>
      <c r="E92" s="29" t="str">
        <f t="shared" si="9"/>
        <v>32128,512</v>
      </c>
      <c r="F92" s="29">
        <f t="shared" ref="F92:F93" si="11">$D9/$D92</f>
        <v>1.053154019</v>
      </c>
      <c r="G92" s="59">
        <v>5.76460782E9</v>
      </c>
    </row>
    <row r="93">
      <c r="A93" s="20">
        <v>32128.0</v>
      </c>
      <c r="B93" s="20">
        <v>768.0</v>
      </c>
      <c r="C93" s="20">
        <v>8.649483034E9</v>
      </c>
      <c r="D93" s="20">
        <v>5269.0</v>
      </c>
      <c r="E93" s="29" t="str">
        <f t="shared" si="9"/>
        <v>32128,768</v>
      </c>
      <c r="F93" s="29">
        <f t="shared" si="11"/>
        <v>0.9436325678</v>
      </c>
      <c r="G93" s="23">
        <v>8.649483034E9</v>
      </c>
      <c r="H93" s="60"/>
      <c r="I93" s="60"/>
      <c r="J93" s="60"/>
    </row>
    <row r="94">
      <c r="A94" s="20">
        <v>50000.0</v>
      </c>
      <c r="B94" s="20">
        <v>128.0</v>
      </c>
      <c r="C94" s="20">
        <v>2.244035421E9</v>
      </c>
      <c r="D94" s="20">
        <v>731.0</v>
      </c>
      <c r="E94" s="23" t="s">
        <v>128</v>
      </c>
      <c r="F94" s="23">
        <v>1.523</v>
      </c>
      <c r="G94" s="23">
        <v>2.244035421E9</v>
      </c>
      <c r="H94" s="60"/>
      <c r="I94" s="60"/>
      <c r="J94" s="60"/>
    </row>
    <row r="95">
      <c r="A95" s="20">
        <v>50000.0</v>
      </c>
      <c r="B95" s="20">
        <v>256.0</v>
      </c>
      <c r="C95" s="20">
        <v>4.49862534E9</v>
      </c>
      <c r="D95" s="20">
        <v>401.0</v>
      </c>
      <c r="E95" s="29" t="str">
        <f t="shared" ref="E95:E109" si="12">A95 &amp; "," &amp;B95</f>
        <v>50000,256</v>
      </c>
      <c r="F95" s="23">
        <v>1.374</v>
      </c>
      <c r="G95" s="59">
        <v>4.49862534E9</v>
      </c>
      <c r="H95" s="60"/>
      <c r="I95" s="60"/>
      <c r="J95" s="60"/>
    </row>
    <row r="96">
      <c r="A96" s="20">
        <v>50000.0</v>
      </c>
      <c r="B96" s="20">
        <v>512.0</v>
      </c>
      <c r="C96" s="20">
        <v>8.975559267E9</v>
      </c>
      <c r="D96" s="20">
        <v>3410.0</v>
      </c>
      <c r="E96" s="29" t="str">
        <f t="shared" si="12"/>
        <v>50000,512</v>
      </c>
      <c r="F96" s="29">
        <f t="shared" ref="F96:F97" si="13">$D13/$D96</f>
        <v>0.9307917889</v>
      </c>
      <c r="G96" s="59">
        <v>8.975559267E9</v>
      </c>
      <c r="H96" s="60"/>
      <c r="I96" s="60"/>
      <c r="J96" s="60"/>
    </row>
    <row r="97">
      <c r="A97" s="20">
        <v>50000.0</v>
      </c>
      <c r="B97" s="20">
        <v>768.0</v>
      </c>
      <c r="C97" s="20">
        <v>1.3468943312E10</v>
      </c>
      <c r="D97" s="20">
        <v>4299.0</v>
      </c>
      <c r="E97" s="29" t="str">
        <f t="shared" si="12"/>
        <v>50000,768</v>
      </c>
      <c r="F97" s="29">
        <f t="shared" si="13"/>
        <v>1.139567341</v>
      </c>
      <c r="G97" s="23">
        <v>1.3468943312E10</v>
      </c>
      <c r="H97" s="60"/>
      <c r="I97" s="60"/>
      <c r="J97" s="60"/>
    </row>
    <row r="98">
      <c r="A98" s="20">
        <v>100000.0</v>
      </c>
      <c r="B98" s="20">
        <v>128.0</v>
      </c>
      <c r="C98" s="20">
        <v>4.48201902E9</v>
      </c>
      <c r="D98" s="20">
        <v>787.0</v>
      </c>
      <c r="E98" s="29" t="str">
        <f t="shared" si="12"/>
        <v>100000,128</v>
      </c>
      <c r="F98" s="23">
        <v>1.545</v>
      </c>
      <c r="G98" s="23">
        <v>4.48201902E9</v>
      </c>
      <c r="H98" s="60"/>
      <c r="I98" s="60"/>
      <c r="J98" s="60"/>
    </row>
    <row r="99">
      <c r="A99" s="20">
        <v>100000.0</v>
      </c>
      <c r="B99" s="20">
        <v>256.0</v>
      </c>
      <c r="C99" s="20">
        <v>8.995212886E9</v>
      </c>
      <c r="D99" s="20">
        <v>315.0</v>
      </c>
      <c r="E99" s="29" t="str">
        <f t="shared" si="12"/>
        <v>100000,256</v>
      </c>
      <c r="F99" s="23">
        <v>1.55</v>
      </c>
      <c r="G99" s="59">
        <v>8.995212886E9</v>
      </c>
      <c r="H99" s="60"/>
      <c r="I99" s="60"/>
      <c r="J99" s="60"/>
    </row>
    <row r="100">
      <c r="A100" s="20">
        <v>100000.0</v>
      </c>
      <c r="B100" s="20">
        <v>512.0</v>
      </c>
      <c r="C100" s="20">
        <v>1.7931187075E10</v>
      </c>
      <c r="D100" s="20">
        <v>2985.0</v>
      </c>
      <c r="E100" s="29" t="str">
        <f t="shared" si="12"/>
        <v>100000,512</v>
      </c>
      <c r="F100" s="29">
        <f t="shared" ref="F100:F102" si="14">$D17/$D100</f>
        <v>1.017755444</v>
      </c>
      <c r="G100" s="23">
        <v>1.7931187075E10</v>
      </c>
      <c r="H100" s="61"/>
      <c r="I100" s="61"/>
      <c r="J100" s="61"/>
    </row>
    <row r="101">
      <c r="A101" s="20">
        <v>100000.0</v>
      </c>
      <c r="B101" s="20">
        <v>768.0</v>
      </c>
      <c r="C101" s="20">
        <v>2.6891754514E10</v>
      </c>
      <c r="D101" s="20">
        <v>4312.0</v>
      </c>
      <c r="E101" s="29" t="str">
        <f t="shared" si="12"/>
        <v>100000,768</v>
      </c>
      <c r="F101" s="29">
        <f t="shared" si="14"/>
        <v>1.241651206</v>
      </c>
      <c r="G101" s="23">
        <v>2.6891754514E10</v>
      </c>
    </row>
    <row r="102">
      <c r="A102" s="20">
        <v>300000.0</v>
      </c>
      <c r="B102" s="20">
        <v>128.0</v>
      </c>
      <c r="C102" s="20">
        <v>1.3440148292E10</v>
      </c>
      <c r="D102" s="20">
        <v>766.0</v>
      </c>
      <c r="E102" s="29" t="str">
        <f t="shared" si="12"/>
        <v>300000,128</v>
      </c>
      <c r="F102" s="29">
        <f t="shared" si="14"/>
        <v>0.9895561358</v>
      </c>
      <c r="G102" s="23">
        <v>1.3440148292E10</v>
      </c>
    </row>
    <row r="103">
      <c r="A103" s="20">
        <v>300000.0</v>
      </c>
      <c r="B103" s="20">
        <v>256.0</v>
      </c>
      <c r="C103" s="20">
        <v>2.6957628447E10</v>
      </c>
      <c r="D103" s="20">
        <v>274.0</v>
      </c>
      <c r="E103" s="29" t="str">
        <f t="shared" si="12"/>
        <v>300000,256</v>
      </c>
      <c r="F103" s="23">
        <v>1.666</v>
      </c>
      <c r="G103" s="59">
        <v>2.6957628447E10</v>
      </c>
    </row>
    <row r="104">
      <c r="A104" s="20">
        <v>300000.0</v>
      </c>
      <c r="B104" s="20">
        <v>512.0</v>
      </c>
      <c r="C104" s="20">
        <v>5.3775348026E10</v>
      </c>
      <c r="D104" s="20">
        <v>3598.0</v>
      </c>
      <c r="E104" s="29" t="str">
        <f t="shared" si="12"/>
        <v>300000,512</v>
      </c>
      <c r="F104" s="29">
        <f t="shared" ref="F104:F106" si="15">$D21/$D104</f>
        <v>0.7595886604</v>
      </c>
      <c r="G104" s="23">
        <v>5.3775348026E10</v>
      </c>
    </row>
    <row r="105">
      <c r="A105" s="20">
        <v>300000.0</v>
      </c>
      <c r="B105" s="20">
        <v>768.0</v>
      </c>
      <c r="C105" s="20">
        <v>8.0686128473E10</v>
      </c>
      <c r="D105" s="20">
        <v>4537.0</v>
      </c>
      <c r="E105" s="29" t="str">
        <f t="shared" si="12"/>
        <v>300000,768</v>
      </c>
      <c r="F105" s="29">
        <f t="shared" si="15"/>
        <v>1.082653736</v>
      </c>
      <c r="G105" s="23">
        <v>8.0686128473E10</v>
      </c>
    </row>
    <row r="106">
      <c r="A106" s="20">
        <v>500000.0</v>
      </c>
      <c r="B106" s="20">
        <v>128.0</v>
      </c>
      <c r="C106" s="20">
        <v>2.2403336259E10</v>
      </c>
      <c r="D106" s="20">
        <v>860.0</v>
      </c>
      <c r="E106" s="29" t="str">
        <f t="shared" si="12"/>
        <v>500000,128</v>
      </c>
      <c r="F106" s="29">
        <f t="shared" si="15"/>
        <v>0.9162790698</v>
      </c>
      <c r="G106" s="23">
        <v>2.2403336259E10</v>
      </c>
    </row>
    <row r="107">
      <c r="A107" s="20">
        <v>500000.0</v>
      </c>
      <c r="B107" s="20">
        <v>256.0</v>
      </c>
      <c r="C107" s="20">
        <v>4.4891116731E10</v>
      </c>
      <c r="D107" s="20">
        <v>275.0</v>
      </c>
      <c r="E107" s="29" t="str">
        <f t="shared" si="12"/>
        <v>500000,256</v>
      </c>
      <c r="F107" s="23">
        <v>1.382</v>
      </c>
      <c r="G107" s="59">
        <v>4.4891116731E10</v>
      </c>
    </row>
    <row r="108">
      <c r="A108" s="20">
        <v>500000.0</v>
      </c>
      <c r="B108" s="20">
        <v>512.0</v>
      </c>
      <c r="C108" s="20">
        <v>8.9648309134E10</v>
      </c>
      <c r="D108" s="20">
        <v>2928.0</v>
      </c>
      <c r="E108" s="29" t="str">
        <f t="shared" si="12"/>
        <v>500000,512</v>
      </c>
      <c r="F108" s="29">
        <f t="shared" ref="F108:F109" si="16">$D25/$D108</f>
        <v>0.9675546448</v>
      </c>
      <c r="G108" s="23">
        <v>8.9648309134E10</v>
      </c>
    </row>
    <row r="109">
      <c r="A109" s="20">
        <v>500000.0</v>
      </c>
      <c r="B109" s="20">
        <v>768.0</v>
      </c>
      <c r="C109" s="20">
        <v>1.34578234898E11</v>
      </c>
      <c r="D109" s="20">
        <v>4485.0</v>
      </c>
      <c r="E109" s="29" t="str">
        <f t="shared" si="12"/>
        <v>500000,768</v>
      </c>
      <c r="F109" s="29">
        <f t="shared" si="16"/>
        <v>1.203344482</v>
      </c>
      <c r="G109" s="23">
        <v>1.34578234898E11</v>
      </c>
    </row>
    <row r="110">
      <c r="A110" s="56"/>
      <c r="B110" s="56"/>
      <c r="C110" s="56"/>
      <c r="D110" s="5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107</v>
      </c>
      <c r="B1" s="20" t="s">
        <v>99</v>
      </c>
      <c r="C1" s="20" t="s">
        <v>100</v>
      </c>
      <c r="D1" s="20" t="s">
        <v>109</v>
      </c>
      <c r="E1" s="20" t="s">
        <v>110</v>
      </c>
      <c r="F1" s="20" t="s">
        <v>111</v>
      </c>
      <c r="G1" s="20" t="s">
        <v>112</v>
      </c>
      <c r="H1" s="20" t="s">
        <v>113</v>
      </c>
      <c r="I1" s="20" t="s">
        <v>101</v>
      </c>
      <c r="J1" s="29" t="str">
        <f t="shared" ref="J1:J49" si="1">A1 &amp; "," &amp;B1 &amp; "," &amp;C1</f>
        <v>Emb_size,dim,pf_dist</v>
      </c>
      <c r="P1" s="62"/>
      <c r="X1" s="62"/>
      <c r="Y1" s="62"/>
    </row>
    <row r="2">
      <c r="A2" s="20">
        <v>10000.0</v>
      </c>
      <c r="B2" s="20">
        <v>128.0</v>
      </c>
      <c r="C2" s="20">
        <v>16.0</v>
      </c>
      <c r="D2" s="20">
        <v>4.54877238E8</v>
      </c>
      <c r="E2" s="20">
        <v>225423.0</v>
      </c>
      <c r="F2" s="20">
        <v>19357.0</v>
      </c>
      <c r="G2" s="20">
        <v>19357.0</v>
      </c>
      <c r="H2" s="20">
        <v>0.0</v>
      </c>
      <c r="I2" s="20">
        <v>395.0</v>
      </c>
      <c r="J2" s="29" t="str">
        <f t="shared" si="1"/>
        <v>10000,128,16</v>
      </c>
    </row>
    <row r="3">
      <c r="A3" s="20">
        <v>10000.0</v>
      </c>
      <c r="B3" s="20">
        <v>128.0</v>
      </c>
      <c r="C3" s="20">
        <v>32.0</v>
      </c>
      <c r="D3" s="20">
        <v>4.54759336E8</v>
      </c>
      <c r="E3" s="20">
        <v>238211.0</v>
      </c>
      <c r="F3" s="20">
        <v>21976.0</v>
      </c>
      <c r="G3" s="20">
        <v>21976.0</v>
      </c>
      <c r="H3" s="20">
        <v>0.0</v>
      </c>
      <c r="I3" s="20">
        <v>632.0</v>
      </c>
      <c r="J3" s="29" t="str">
        <f t="shared" si="1"/>
        <v>10000,128,32</v>
      </c>
    </row>
    <row r="4">
      <c r="A4" s="20">
        <v>10000.0</v>
      </c>
      <c r="B4" s="20">
        <v>128.0</v>
      </c>
      <c r="C4" s="20">
        <v>64.0</v>
      </c>
      <c r="D4" s="20">
        <v>4.54938665E8</v>
      </c>
      <c r="E4" s="20">
        <v>228527.0</v>
      </c>
      <c r="F4" s="20">
        <v>21604.0</v>
      </c>
      <c r="G4" s="20">
        <v>21604.0</v>
      </c>
      <c r="H4" s="20">
        <v>0.0</v>
      </c>
      <c r="I4" s="20">
        <v>678.0</v>
      </c>
      <c r="J4" s="29" t="str">
        <f t="shared" si="1"/>
        <v>10000,128,64</v>
      </c>
    </row>
    <row r="5">
      <c r="A5" s="20">
        <v>32128.0</v>
      </c>
      <c r="B5" s="20">
        <v>128.0</v>
      </c>
      <c r="C5" s="20">
        <v>16.0</v>
      </c>
      <c r="D5" s="20">
        <v>1.445548406E9</v>
      </c>
      <c r="E5" s="20">
        <v>612952.0</v>
      </c>
      <c r="F5" s="20">
        <v>28582.0</v>
      </c>
      <c r="G5" s="20">
        <v>28582.0</v>
      </c>
      <c r="H5" s="20">
        <v>0.0</v>
      </c>
      <c r="I5" s="20">
        <v>679.0</v>
      </c>
      <c r="J5" s="29" t="str">
        <f t="shared" si="1"/>
        <v>32128,128,16</v>
      </c>
      <c r="M5" s="62" t="str">
        <f>I51/I107</f>
        <v>#VALUE!</v>
      </c>
    </row>
    <row r="6">
      <c r="A6" s="20">
        <v>32128.0</v>
      </c>
      <c r="B6" s="20">
        <v>128.0</v>
      </c>
      <c r="C6" s="20">
        <v>32.0</v>
      </c>
      <c r="D6" s="20">
        <v>1.445089749E9</v>
      </c>
      <c r="E6" s="20">
        <v>613195.0</v>
      </c>
      <c r="F6" s="20">
        <v>28328.0</v>
      </c>
      <c r="G6" s="20">
        <v>28328.0</v>
      </c>
      <c r="H6" s="20">
        <v>0.0</v>
      </c>
      <c r="I6" s="20">
        <v>886.0</v>
      </c>
      <c r="J6" s="29" t="str">
        <f t="shared" si="1"/>
        <v>32128,128,32</v>
      </c>
    </row>
    <row r="7">
      <c r="A7" s="20">
        <v>32128.0</v>
      </c>
      <c r="B7" s="20">
        <v>128.0</v>
      </c>
      <c r="C7" s="20">
        <v>64.0</v>
      </c>
      <c r="D7" s="20">
        <v>1.444739174E9</v>
      </c>
      <c r="E7" s="20">
        <v>611165.0</v>
      </c>
      <c r="F7" s="20">
        <v>25590.0</v>
      </c>
      <c r="G7" s="20">
        <v>25590.0</v>
      </c>
      <c r="H7" s="20">
        <v>0.0</v>
      </c>
      <c r="I7" s="20">
        <v>811.0</v>
      </c>
      <c r="J7" s="29" t="str">
        <f t="shared" si="1"/>
        <v>32128,128,64</v>
      </c>
    </row>
    <row r="8">
      <c r="A8" s="20">
        <v>50000.0</v>
      </c>
      <c r="B8" s="20">
        <v>128.0</v>
      </c>
      <c r="C8" s="20">
        <v>16.0</v>
      </c>
      <c r="D8" s="20">
        <v>2.246116413E9</v>
      </c>
      <c r="E8" s="20">
        <v>950929.0</v>
      </c>
      <c r="F8" s="20">
        <v>36238.0</v>
      </c>
      <c r="G8" s="20">
        <v>36238.0</v>
      </c>
      <c r="H8" s="20">
        <v>0.0</v>
      </c>
      <c r="I8" s="20">
        <v>711.0</v>
      </c>
      <c r="J8" s="29" t="str">
        <f t="shared" si="1"/>
        <v>50000,128,16</v>
      </c>
    </row>
    <row r="9">
      <c r="A9" s="20">
        <v>50000.0</v>
      </c>
      <c r="B9" s="20">
        <v>128.0</v>
      </c>
      <c r="C9" s="20">
        <v>32.0</v>
      </c>
      <c r="D9" s="20">
        <v>2.245167377E9</v>
      </c>
      <c r="E9" s="20">
        <v>924590.0</v>
      </c>
      <c r="F9" s="20">
        <v>33229.0</v>
      </c>
      <c r="G9" s="20">
        <v>33229.0</v>
      </c>
      <c r="H9" s="20">
        <v>6.0</v>
      </c>
      <c r="I9" s="20">
        <v>713.0</v>
      </c>
      <c r="J9" s="29" t="str">
        <f t="shared" si="1"/>
        <v>50000,128,32</v>
      </c>
    </row>
    <row r="10">
      <c r="A10" s="20">
        <v>50000.0</v>
      </c>
      <c r="B10" s="20">
        <v>128.0</v>
      </c>
      <c r="C10" s="20">
        <v>64.0</v>
      </c>
      <c r="D10" s="20">
        <v>2.247651227E9</v>
      </c>
      <c r="E10" s="20">
        <v>978323.0</v>
      </c>
      <c r="F10" s="20">
        <v>39487.0</v>
      </c>
      <c r="G10" s="20">
        <v>39487.0</v>
      </c>
      <c r="H10" s="20">
        <v>0.0</v>
      </c>
      <c r="I10" s="20">
        <v>703.0</v>
      </c>
      <c r="J10" s="29" t="str">
        <f t="shared" si="1"/>
        <v>50000,128,64</v>
      </c>
    </row>
    <row r="11">
      <c r="A11" s="20">
        <v>100000.0</v>
      </c>
      <c r="B11" s="20">
        <v>128.0</v>
      </c>
      <c r="C11" s="20">
        <v>16.0</v>
      </c>
      <c r="D11" s="20">
        <v>4.485950072E9</v>
      </c>
      <c r="E11" s="20">
        <v>1817206.0</v>
      </c>
      <c r="F11" s="20">
        <v>55396.0</v>
      </c>
      <c r="G11" s="20">
        <v>55396.0</v>
      </c>
      <c r="H11" s="20">
        <v>0.0</v>
      </c>
      <c r="I11" s="20">
        <v>741.0</v>
      </c>
      <c r="J11" s="29" t="str">
        <f t="shared" si="1"/>
        <v>100000,128,16</v>
      </c>
    </row>
    <row r="12">
      <c r="A12" s="20">
        <v>100000.0</v>
      </c>
      <c r="B12" s="20">
        <v>128.0</v>
      </c>
      <c r="C12" s="20">
        <v>32.0</v>
      </c>
      <c r="D12" s="20">
        <v>4.482830082E9</v>
      </c>
      <c r="E12" s="20">
        <v>1804271.0</v>
      </c>
      <c r="F12" s="20">
        <v>46580.0</v>
      </c>
      <c r="G12" s="20">
        <v>46580.0</v>
      </c>
      <c r="H12" s="20">
        <v>0.0</v>
      </c>
      <c r="I12" s="20">
        <v>728.0</v>
      </c>
      <c r="J12" s="29" t="str">
        <f t="shared" si="1"/>
        <v>100000,128,32</v>
      </c>
    </row>
    <row r="13">
      <c r="A13" s="20">
        <v>100000.0</v>
      </c>
      <c r="B13" s="20">
        <v>128.0</v>
      </c>
      <c r="C13" s="20">
        <v>64.0</v>
      </c>
      <c r="D13" s="20">
        <v>4.483395496E9</v>
      </c>
      <c r="E13" s="20">
        <v>1810583.0</v>
      </c>
      <c r="F13" s="20">
        <v>50717.0</v>
      </c>
      <c r="G13" s="20">
        <v>50717.0</v>
      </c>
      <c r="H13" s="20">
        <v>1.0</v>
      </c>
      <c r="I13" s="20">
        <v>725.0</v>
      </c>
      <c r="J13" s="29" t="str">
        <f t="shared" si="1"/>
        <v>100000,128,64</v>
      </c>
    </row>
    <row r="14">
      <c r="A14" s="20">
        <v>10000.0</v>
      </c>
      <c r="B14" s="20">
        <v>256.0</v>
      </c>
      <c r="C14" s="20">
        <v>16.0</v>
      </c>
      <c r="D14" s="20">
        <v>9.05034916E8</v>
      </c>
      <c r="E14" s="20">
        <v>405106.0</v>
      </c>
      <c r="F14" s="20">
        <v>28314.0</v>
      </c>
      <c r="G14" s="20">
        <v>28314.0</v>
      </c>
      <c r="H14" s="20">
        <v>0.0</v>
      </c>
      <c r="I14" s="20">
        <v>1191.0</v>
      </c>
      <c r="J14" s="29" t="str">
        <f t="shared" si="1"/>
        <v>10000,256,16</v>
      </c>
    </row>
    <row r="15">
      <c r="A15" s="20">
        <v>10000.0</v>
      </c>
      <c r="B15" s="20">
        <v>256.0</v>
      </c>
      <c r="C15" s="20">
        <v>32.0</v>
      </c>
      <c r="D15" s="20">
        <v>9.05382589E8</v>
      </c>
      <c r="E15" s="20">
        <v>405997.0</v>
      </c>
      <c r="F15" s="20">
        <v>28710.0</v>
      </c>
      <c r="G15" s="20">
        <v>28710.0</v>
      </c>
      <c r="H15" s="20">
        <v>0.0</v>
      </c>
      <c r="I15" s="20">
        <v>1124.0</v>
      </c>
      <c r="J15" s="29" t="str">
        <f t="shared" si="1"/>
        <v>10000,256,32</v>
      </c>
    </row>
    <row r="16">
      <c r="A16" s="20">
        <v>10000.0</v>
      </c>
      <c r="B16" s="20">
        <v>256.0</v>
      </c>
      <c r="C16" s="20">
        <v>64.0</v>
      </c>
      <c r="D16" s="20">
        <v>9.05194648E8</v>
      </c>
      <c r="E16" s="20">
        <v>406936.0</v>
      </c>
      <c r="F16" s="20">
        <v>28719.0</v>
      </c>
      <c r="G16" s="20">
        <v>28719.0</v>
      </c>
      <c r="H16" s="20">
        <v>0.0</v>
      </c>
      <c r="I16" s="20">
        <v>1195.0</v>
      </c>
      <c r="J16" s="29" t="str">
        <f t="shared" si="1"/>
        <v>10000,256,64</v>
      </c>
    </row>
    <row r="17">
      <c r="A17" s="20">
        <v>32128.0</v>
      </c>
      <c r="B17" s="20">
        <v>256.0</v>
      </c>
      <c r="C17" s="20">
        <v>16.0</v>
      </c>
      <c r="D17" s="20">
        <v>2.885999387E9</v>
      </c>
      <c r="E17" s="20">
        <v>1179854.0</v>
      </c>
      <c r="F17" s="20">
        <v>42183.0</v>
      </c>
      <c r="G17" s="20">
        <v>42183.0</v>
      </c>
      <c r="H17" s="20">
        <v>0.0</v>
      </c>
      <c r="I17" s="20">
        <v>1362.0</v>
      </c>
      <c r="J17" s="29" t="str">
        <f t="shared" si="1"/>
        <v>32128,256,16</v>
      </c>
    </row>
    <row r="18">
      <c r="A18" s="20">
        <v>32128.0</v>
      </c>
      <c r="B18" s="20">
        <v>256.0</v>
      </c>
      <c r="C18" s="20">
        <v>32.0</v>
      </c>
      <c r="D18" s="20">
        <v>2.885668875E9</v>
      </c>
      <c r="E18" s="20">
        <v>1232319.0</v>
      </c>
      <c r="F18" s="20">
        <v>38972.0</v>
      </c>
      <c r="G18" s="20">
        <v>38972.0</v>
      </c>
      <c r="H18" s="20">
        <v>0.0</v>
      </c>
      <c r="I18" s="20">
        <v>1597.0</v>
      </c>
      <c r="J18" s="29" t="str">
        <f t="shared" si="1"/>
        <v>32128,256,32</v>
      </c>
    </row>
    <row r="19">
      <c r="A19" s="20">
        <v>32128.0</v>
      </c>
      <c r="B19" s="20">
        <v>256.0</v>
      </c>
      <c r="C19" s="20">
        <v>64.0</v>
      </c>
      <c r="D19" s="20">
        <v>2.887557568E9</v>
      </c>
      <c r="E19" s="20">
        <v>1222074.0</v>
      </c>
      <c r="F19" s="20">
        <v>46583.0</v>
      </c>
      <c r="G19" s="20">
        <v>46583.0</v>
      </c>
      <c r="H19" s="20">
        <v>0.0</v>
      </c>
      <c r="I19" s="20">
        <v>1366.0</v>
      </c>
      <c r="J19" s="29" t="str">
        <f t="shared" si="1"/>
        <v>32128,256,64</v>
      </c>
      <c r="W19" s="62"/>
    </row>
    <row r="20">
      <c r="A20" s="20">
        <v>50000.0</v>
      </c>
      <c r="B20" s="20">
        <v>256.0</v>
      </c>
      <c r="C20" s="20">
        <v>16.0</v>
      </c>
      <c r="D20" s="20">
        <v>4.489995993E9</v>
      </c>
      <c r="E20" s="20">
        <v>1876838.0</v>
      </c>
      <c r="F20" s="20">
        <v>61013.0</v>
      </c>
      <c r="G20" s="20">
        <v>61013.0</v>
      </c>
      <c r="H20" s="20">
        <v>0.0</v>
      </c>
      <c r="I20" s="20">
        <v>1421.0</v>
      </c>
      <c r="J20" s="29" t="str">
        <f t="shared" si="1"/>
        <v>50000,256,16</v>
      </c>
    </row>
    <row r="21">
      <c r="A21" s="20">
        <v>50000.0</v>
      </c>
      <c r="B21" s="20">
        <v>256.0</v>
      </c>
      <c r="C21" s="20">
        <v>32.0</v>
      </c>
      <c r="D21" s="20">
        <v>4.490873539E9</v>
      </c>
      <c r="E21" s="20">
        <v>2068455.0</v>
      </c>
      <c r="F21" s="20">
        <v>66546.0</v>
      </c>
      <c r="G21" s="20">
        <v>66546.0</v>
      </c>
      <c r="H21" s="20">
        <v>0.0</v>
      </c>
      <c r="I21" s="20">
        <v>1648.0</v>
      </c>
      <c r="J21" s="29" t="str">
        <f t="shared" si="1"/>
        <v>50000,256,32</v>
      </c>
    </row>
    <row r="22">
      <c r="A22" s="20">
        <v>50000.0</v>
      </c>
      <c r="B22" s="20">
        <v>256.0</v>
      </c>
      <c r="C22" s="20">
        <v>64.0</v>
      </c>
      <c r="D22" s="20">
        <v>4.490373408E9</v>
      </c>
      <c r="E22" s="20">
        <v>1949774.0</v>
      </c>
      <c r="F22" s="20">
        <v>64041.0</v>
      </c>
      <c r="G22" s="20">
        <v>64041.0</v>
      </c>
      <c r="H22" s="20">
        <v>0.0</v>
      </c>
      <c r="I22" s="20">
        <v>1662.0</v>
      </c>
      <c r="J22" s="29" t="str">
        <f t="shared" si="1"/>
        <v>50000,256,64</v>
      </c>
    </row>
    <row r="23">
      <c r="A23" s="20">
        <v>100000.0</v>
      </c>
      <c r="B23" s="20">
        <v>256.0</v>
      </c>
      <c r="C23" s="20">
        <v>16.0</v>
      </c>
      <c r="D23" s="20">
        <v>8.972162037E9</v>
      </c>
      <c r="E23" s="20">
        <v>3729952.0</v>
      </c>
      <c r="F23" s="20">
        <v>100217.0</v>
      </c>
      <c r="G23" s="20">
        <v>100217.0</v>
      </c>
      <c r="H23" s="20">
        <v>0.0</v>
      </c>
      <c r="I23" s="20">
        <v>1806.0</v>
      </c>
      <c r="J23" s="29" t="str">
        <f t="shared" si="1"/>
        <v>100000,256,16</v>
      </c>
    </row>
    <row r="24">
      <c r="A24" s="20">
        <v>100000.0</v>
      </c>
      <c r="B24" s="20">
        <v>256.0</v>
      </c>
      <c r="C24" s="20">
        <v>32.0</v>
      </c>
      <c r="D24" s="20">
        <v>8.968147224E9</v>
      </c>
      <c r="E24" s="20">
        <v>3693130.0</v>
      </c>
      <c r="F24" s="20">
        <v>106216.0</v>
      </c>
      <c r="G24" s="20">
        <v>106216.0</v>
      </c>
      <c r="H24" s="20">
        <v>0.0</v>
      </c>
      <c r="I24" s="20">
        <v>1723.0</v>
      </c>
      <c r="J24" s="29" t="str">
        <f t="shared" si="1"/>
        <v>100000,256,32</v>
      </c>
    </row>
    <row r="25">
      <c r="A25" s="20">
        <v>100000.0</v>
      </c>
      <c r="B25" s="20">
        <v>256.0</v>
      </c>
      <c r="C25" s="20">
        <v>64.0</v>
      </c>
      <c r="D25" s="20">
        <v>8.968490846E9</v>
      </c>
      <c r="E25" s="20">
        <v>3785202.0</v>
      </c>
      <c r="F25" s="20">
        <v>103612.0</v>
      </c>
      <c r="G25" s="20">
        <v>103612.0</v>
      </c>
      <c r="H25" s="20">
        <v>0.0</v>
      </c>
      <c r="I25" s="20">
        <v>1604.0</v>
      </c>
      <c r="J25" s="29" t="str">
        <f t="shared" si="1"/>
        <v>100000,256,64</v>
      </c>
    </row>
    <row r="26">
      <c r="A26" s="20">
        <v>10000.0</v>
      </c>
      <c r="B26" s="20">
        <v>512.0</v>
      </c>
      <c r="C26" s="20">
        <v>16.0</v>
      </c>
      <c r="D26" s="20">
        <v>1.805872861E9</v>
      </c>
      <c r="E26" s="20">
        <v>768770.0</v>
      </c>
      <c r="F26" s="20">
        <v>46557.0</v>
      </c>
      <c r="G26" s="20">
        <v>46557.0</v>
      </c>
      <c r="H26" s="20">
        <v>0.0</v>
      </c>
      <c r="I26" s="20">
        <v>2568.0</v>
      </c>
      <c r="J26" s="29" t="str">
        <f t="shared" si="1"/>
        <v>10000,512,16</v>
      </c>
    </row>
    <row r="27">
      <c r="A27" s="20">
        <v>10000.0</v>
      </c>
      <c r="B27" s="20">
        <v>512.0</v>
      </c>
      <c r="C27" s="20">
        <v>32.0</v>
      </c>
      <c r="D27" s="20">
        <v>1.805625089E9</v>
      </c>
      <c r="E27" s="20">
        <v>770693.0</v>
      </c>
      <c r="F27" s="20">
        <v>44669.0</v>
      </c>
      <c r="G27" s="20">
        <v>44669.0</v>
      </c>
      <c r="H27" s="20">
        <v>0.0</v>
      </c>
      <c r="I27" s="20">
        <v>2555.0</v>
      </c>
      <c r="J27" s="29" t="str">
        <f t="shared" si="1"/>
        <v>10000,512,32</v>
      </c>
    </row>
    <row r="28">
      <c r="A28" s="20">
        <v>10000.0</v>
      </c>
      <c r="B28" s="20">
        <v>512.0</v>
      </c>
      <c r="C28" s="20">
        <v>64.0</v>
      </c>
      <c r="D28" s="20">
        <v>1.806083832E9</v>
      </c>
      <c r="E28" s="20">
        <v>765848.0</v>
      </c>
      <c r="F28" s="20">
        <v>46510.0</v>
      </c>
      <c r="G28" s="20">
        <v>46510.0</v>
      </c>
      <c r="H28" s="20">
        <v>0.0</v>
      </c>
      <c r="I28" s="20">
        <v>2543.0</v>
      </c>
      <c r="J28" s="29" t="str">
        <f t="shared" si="1"/>
        <v>10000,512,64</v>
      </c>
    </row>
    <row r="29">
      <c r="A29" s="20">
        <v>32128.0</v>
      </c>
      <c r="B29" s="20">
        <v>512.0</v>
      </c>
      <c r="C29" s="20">
        <v>16.0</v>
      </c>
      <c r="D29" s="20">
        <v>5.768274218E9</v>
      </c>
      <c r="E29" s="20">
        <v>2328436.0</v>
      </c>
      <c r="F29" s="20">
        <v>73884.0</v>
      </c>
      <c r="G29" s="20">
        <v>73884.0</v>
      </c>
      <c r="H29" s="20">
        <v>0.0</v>
      </c>
      <c r="I29" s="20">
        <v>2775.0</v>
      </c>
      <c r="J29" s="29" t="str">
        <f t="shared" si="1"/>
        <v>32128,512,16</v>
      </c>
    </row>
    <row r="30">
      <c r="A30" s="20">
        <v>32128.0</v>
      </c>
      <c r="B30" s="20">
        <v>512.0</v>
      </c>
      <c r="C30" s="20">
        <v>32.0</v>
      </c>
      <c r="D30" s="20">
        <v>5.767434452E9</v>
      </c>
      <c r="E30" s="20">
        <v>2316545.0</v>
      </c>
      <c r="F30" s="20">
        <v>74849.0</v>
      </c>
      <c r="G30" s="20">
        <v>74849.0</v>
      </c>
      <c r="H30" s="20">
        <v>0.0</v>
      </c>
      <c r="I30" s="20">
        <v>2648.0</v>
      </c>
      <c r="J30" s="29" t="str">
        <f t="shared" si="1"/>
        <v>32128,512,32</v>
      </c>
    </row>
    <row r="31">
      <c r="A31" s="20">
        <v>32128.0</v>
      </c>
      <c r="B31" s="20">
        <v>512.0</v>
      </c>
      <c r="C31" s="20">
        <v>64.0</v>
      </c>
      <c r="D31" s="20">
        <v>5.768487848E9</v>
      </c>
      <c r="E31" s="20">
        <v>2327402.0</v>
      </c>
      <c r="F31" s="20">
        <v>79184.0</v>
      </c>
      <c r="G31" s="20">
        <v>79184.0</v>
      </c>
      <c r="H31" s="20">
        <v>0.0</v>
      </c>
      <c r="I31" s="20">
        <v>2795.0</v>
      </c>
      <c r="J31" s="29" t="str">
        <f t="shared" si="1"/>
        <v>32128,512,64</v>
      </c>
    </row>
    <row r="32">
      <c r="A32" s="20">
        <v>50000.0</v>
      </c>
      <c r="B32" s="20">
        <v>512.0</v>
      </c>
      <c r="C32" s="20">
        <v>16.0</v>
      </c>
      <c r="D32" s="20">
        <v>8.974000519E9</v>
      </c>
      <c r="E32" s="20">
        <v>3599079.0</v>
      </c>
      <c r="F32" s="20">
        <v>109536.0</v>
      </c>
      <c r="G32" s="20">
        <v>109536.0</v>
      </c>
      <c r="H32" s="20">
        <v>0.0</v>
      </c>
      <c r="I32" s="20">
        <v>2816.0</v>
      </c>
      <c r="J32" s="29" t="str">
        <f t="shared" si="1"/>
        <v>50000,512,16</v>
      </c>
    </row>
    <row r="33">
      <c r="A33" s="20">
        <v>50000.0</v>
      </c>
      <c r="B33" s="20">
        <v>512.0</v>
      </c>
      <c r="C33" s="20">
        <v>32.0</v>
      </c>
      <c r="D33" s="20">
        <v>8.976551198E9</v>
      </c>
      <c r="E33" s="20">
        <v>3672475.0</v>
      </c>
      <c r="F33" s="20">
        <v>101601.0</v>
      </c>
      <c r="G33" s="20">
        <v>101601.0</v>
      </c>
      <c r="H33" s="20">
        <v>0.0</v>
      </c>
      <c r="I33" s="20">
        <v>3222.0</v>
      </c>
      <c r="J33" s="29" t="str">
        <f t="shared" si="1"/>
        <v>50000,512,32</v>
      </c>
    </row>
    <row r="34">
      <c r="A34" s="20">
        <v>50000.0</v>
      </c>
      <c r="B34" s="20">
        <v>512.0</v>
      </c>
      <c r="C34" s="20">
        <v>64.0</v>
      </c>
      <c r="D34" s="20">
        <v>8.974208584E9</v>
      </c>
      <c r="E34" s="20">
        <v>3728992.0</v>
      </c>
      <c r="F34" s="20">
        <v>113999.0</v>
      </c>
      <c r="G34" s="20">
        <v>113999.0</v>
      </c>
      <c r="H34" s="20">
        <v>0.0</v>
      </c>
      <c r="I34" s="20">
        <v>3099.0</v>
      </c>
      <c r="J34" s="29" t="str">
        <f t="shared" si="1"/>
        <v>50000,512,64</v>
      </c>
    </row>
    <row r="35">
      <c r="A35" s="20">
        <v>100000.0</v>
      </c>
      <c r="B35" s="20">
        <v>512.0</v>
      </c>
      <c r="C35" s="20">
        <v>16.0</v>
      </c>
      <c r="D35" s="20">
        <v>1.7933962543E10</v>
      </c>
      <c r="E35" s="20">
        <v>7339422.0</v>
      </c>
      <c r="F35" s="20">
        <v>179381.0</v>
      </c>
      <c r="G35" s="20">
        <v>179381.0</v>
      </c>
      <c r="H35" s="20">
        <v>0.0</v>
      </c>
      <c r="I35" s="20">
        <v>3130.0</v>
      </c>
      <c r="J35" s="29" t="str">
        <f t="shared" si="1"/>
        <v>100000,512,16</v>
      </c>
    </row>
    <row r="36">
      <c r="A36" s="20">
        <v>100000.0</v>
      </c>
      <c r="B36" s="20">
        <v>512.0</v>
      </c>
      <c r="C36" s="20">
        <v>32.0</v>
      </c>
      <c r="D36" s="20">
        <v>1.7932621334E10</v>
      </c>
      <c r="E36" s="20">
        <v>7457941.0</v>
      </c>
      <c r="F36" s="20">
        <v>187169.0</v>
      </c>
      <c r="G36" s="20">
        <v>187169.0</v>
      </c>
      <c r="H36" s="20">
        <v>0.0</v>
      </c>
      <c r="I36" s="20">
        <v>3463.0</v>
      </c>
      <c r="J36" s="29" t="str">
        <f t="shared" si="1"/>
        <v>100000,512,32</v>
      </c>
    </row>
    <row r="37">
      <c r="A37" s="20">
        <v>100000.0</v>
      </c>
      <c r="B37" s="20">
        <v>512.0</v>
      </c>
      <c r="C37" s="20">
        <v>64.0</v>
      </c>
      <c r="D37" s="20">
        <v>1.7935984562E10</v>
      </c>
      <c r="E37" s="20">
        <v>7579536.0</v>
      </c>
      <c r="F37" s="20">
        <v>199995.0</v>
      </c>
      <c r="G37" s="20">
        <v>199995.0</v>
      </c>
      <c r="H37" s="20">
        <v>0.0</v>
      </c>
      <c r="I37" s="20">
        <v>3070.0</v>
      </c>
      <c r="J37" s="29" t="str">
        <f t="shared" si="1"/>
        <v>100000,512,64</v>
      </c>
    </row>
    <row r="38">
      <c r="A38" s="20">
        <v>10000.0</v>
      </c>
      <c r="B38" s="20">
        <v>768.0</v>
      </c>
      <c r="C38" s="20">
        <v>16.0</v>
      </c>
      <c r="D38" s="20">
        <v>2.707487536E9</v>
      </c>
      <c r="E38" s="20">
        <v>1145320.0</v>
      </c>
      <c r="F38" s="20">
        <v>67347.0</v>
      </c>
      <c r="G38" s="20">
        <v>67347.0</v>
      </c>
      <c r="H38" s="20">
        <v>0.0</v>
      </c>
      <c r="I38" s="20">
        <v>4004.0</v>
      </c>
      <c r="J38" s="29" t="str">
        <f t="shared" si="1"/>
        <v>10000,768,16</v>
      </c>
    </row>
    <row r="39">
      <c r="A39" s="20">
        <v>10000.0</v>
      </c>
      <c r="B39" s="20">
        <v>768.0</v>
      </c>
      <c r="C39" s="20">
        <v>32.0</v>
      </c>
      <c r="D39" s="20">
        <v>2.706990493E9</v>
      </c>
      <c r="E39" s="20">
        <v>1149404.0</v>
      </c>
      <c r="F39" s="20">
        <v>64640.0</v>
      </c>
      <c r="G39" s="20">
        <v>64640.0</v>
      </c>
      <c r="H39" s="20">
        <v>0.0</v>
      </c>
      <c r="I39" s="20">
        <v>4690.0</v>
      </c>
      <c r="J39" s="29" t="str">
        <f t="shared" si="1"/>
        <v>10000,768,32</v>
      </c>
    </row>
    <row r="40">
      <c r="A40" s="20">
        <v>10000.0</v>
      </c>
      <c r="B40" s="20">
        <v>768.0</v>
      </c>
      <c r="C40" s="20">
        <v>64.0</v>
      </c>
      <c r="D40" s="20">
        <v>2.706827362E9</v>
      </c>
      <c r="E40" s="20">
        <v>1150402.0</v>
      </c>
      <c r="F40" s="20">
        <v>65037.0</v>
      </c>
      <c r="G40" s="20">
        <v>65037.0</v>
      </c>
      <c r="H40" s="20">
        <v>0.0</v>
      </c>
      <c r="I40" s="20">
        <v>4376.0</v>
      </c>
      <c r="J40" s="29" t="str">
        <f t="shared" si="1"/>
        <v>10000,768,64</v>
      </c>
    </row>
    <row r="41">
      <c r="A41" s="20">
        <v>32128.0</v>
      </c>
      <c r="B41" s="20">
        <v>768.0</v>
      </c>
      <c r="C41" s="20">
        <v>16.0</v>
      </c>
      <c r="D41" s="20">
        <v>8.653856768E9</v>
      </c>
      <c r="E41" s="20">
        <v>3819778.0</v>
      </c>
      <c r="F41" s="20">
        <v>112352.0</v>
      </c>
      <c r="G41" s="20">
        <v>112352.0</v>
      </c>
      <c r="H41" s="20">
        <v>11.0</v>
      </c>
      <c r="I41" s="20">
        <v>4440.0</v>
      </c>
      <c r="J41" s="29" t="str">
        <f t="shared" si="1"/>
        <v>32128,768,16</v>
      </c>
    </row>
    <row r="42">
      <c r="A42" s="20">
        <v>32128.0</v>
      </c>
      <c r="B42" s="20">
        <v>768.0</v>
      </c>
      <c r="C42" s="20">
        <v>32.0</v>
      </c>
      <c r="D42" s="20">
        <v>8.655205648E9</v>
      </c>
      <c r="E42" s="20">
        <v>3587403.0</v>
      </c>
      <c r="F42" s="20">
        <v>104257.0</v>
      </c>
      <c r="G42" s="20">
        <v>104257.0</v>
      </c>
      <c r="H42" s="20">
        <v>0.0</v>
      </c>
      <c r="I42" s="20">
        <v>4464.0</v>
      </c>
      <c r="J42" s="29" t="str">
        <f t="shared" si="1"/>
        <v>32128,768,32</v>
      </c>
    </row>
    <row r="43">
      <c r="A43" s="20">
        <v>32128.0</v>
      </c>
      <c r="B43" s="20">
        <v>768.0</v>
      </c>
      <c r="C43" s="20">
        <v>64.0</v>
      </c>
      <c r="D43" s="20">
        <v>8.6529322E9</v>
      </c>
      <c r="E43" s="20">
        <v>3601391.0</v>
      </c>
      <c r="F43" s="20">
        <v>122216.0</v>
      </c>
      <c r="G43" s="20">
        <v>122216.0</v>
      </c>
      <c r="H43" s="20">
        <v>0.0</v>
      </c>
      <c r="I43" s="20">
        <v>5285.0</v>
      </c>
      <c r="J43" s="29" t="str">
        <f t="shared" si="1"/>
        <v>32128,768,64</v>
      </c>
    </row>
    <row r="44">
      <c r="A44" s="20">
        <v>50000.0</v>
      </c>
      <c r="B44" s="20">
        <v>768.0</v>
      </c>
      <c r="C44" s="20">
        <v>16.0</v>
      </c>
      <c r="D44" s="20">
        <v>1.3460279165E10</v>
      </c>
      <c r="E44" s="20">
        <v>5460810.0</v>
      </c>
      <c r="F44" s="20">
        <v>152222.0</v>
      </c>
      <c r="G44" s="20">
        <v>152222.0</v>
      </c>
      <c r="H44" s="20">
        <v>0.0</v>
      </c>
      <c r="I44" s="20">
        <v>4653.0</v>
      </c>
      <c r="J44" s="29" t="str">
        <f t="shared" si="1"/>
        <v>50000,768,16</v>
      </c>
    </row>
    <row r="45">
      <c r="A45" s="20">
        <v>50000.0</v>
      </c>
      <c r="B45" s="20">
        <v>768.0</v>
      </c>
      <c r="C45" s="20">
        <v>32.0</v>
      </c>
      <c r="D45" s="20">
        <v>1.345821816E10</v>
      </c>
      <c r="E45" s="20">
        <v>5416798.0</v>
      </c>
      <c r="F45" s="20">
        <v>159366.0</v>
      </c>
      <c r="G45" s="20">
        <v>159366.0</v>
      </c>
      <c r="H45" s="20">
        <v>0.0</v>
      </c>
      <c r="I45" s="20">
        <v>4526.0</v>
      </c>
      <c r="J45" s="29" t="str">
        <f t="shared" si="1"/>
        <v>50000,768,32</v>
      </c>
    </row>
    <row r="46">
      <c r="A46" s="20">
        <v>50000.0</v>
      </c>
      <c r="B46" s="20">
        <v>768.0</v>
      </c>
      <c r="C46" s="20">
        <v>64.0</v>
      </c>
      <c r="D46" s="20">
        <v>1.346178187E10</v>
      </c>
      <c r="E46" s="20">
        <v>5432960.0</v>
      </c>
      <c r="F46" s="20">
        <v>176205.0</v>
      </c>
      <c r="G46" s="20">
        <v>176205.0</v>
      </c>
      <c r="H46" s="20">
        <v>0.0</v>
      </c>
      <c r="I46" s="20">
        <v>4535.0</v>
      </c>
      <c r="J46" s="29" t="str">
        <f t="shared" si="1"/>
        <v>50000,768,64</v>
      </c>
    </row>
    <row r="47">
      <c r="A47" s="20">
        <v>100000.0</v>
      </c>
      <c r="B47" s="20">
        <v>768.0</v>
      </c>
      <c r="C47" s="20">
        <v>16.0</v>
      </c>
      <c r="D47" s="20">
        <v>2.6894682261E10</v>
      </c>
      <c r="E47" s="20">
        <v>1.0745433E7</v>
      </c>
      <c r="F47" s="20">
        <v>264529.0</v>
      </c>
      <c r="G47" s="20">
        <v>264529.0</v>
      </c>
      <c r="H47" s="20">
        <v>0.0</v>
      </c>
      <c r="I47" s="20">
        <v>4040.0</v>
      </c>
      <c r="J47" s="29" t="str">
        <f t="shared" si="1"/>
        <v>100000,768,16</v>
      </c>
    </row>
    <row r="48">
      <c r="A48" s="20">
        <v>100000.0</v>
      </c>
      <c r="B48" s="20">
        <v>768.0</v>
      </c>
      <c r="C48" s="20">
        <v>32.0</v>
      </c>
      <c r="D48" s="20">
        <v>2.6894441196E10</v>
      </c>
      <c r="E48" s="20">
        <v>1.0853803E7</v>
      </c>
      <c r="F48" s="20">
        <v>257222.0</v>
      </c>
      <c r="G48" s="20">
        <v>257222.0</v>
      </c>
      <c r="H48" s="20">
        <v>16.0</v>
      </c>
      <c r="I48" s="20">
        <v>4048.0</v>
      </c>
      <c r="J48" s="29" t="str">
        <f t="shared" si="1"/>
        <v>100000,768,32</v>
      </c>
    </row>
    <row r="49">
      <c r="A49" s="20">
        <v>100000.0</v>
      </c>
      <c r="B49" s="20">
        <v>768.0</v>
      </c>
      <c r="C49" s="20">
        <v>64.0</v>
      </c>
      <c r="D49" s="20">
        <v>2.6896972469E10</v>
      </c>
      <c r="E49" s="20">
        <v>1.0696477E7</v>
      </c>
      <c r="F49" s="20">
        <v>254501.0</v>
      </c>
      <c r="G49" s="20">
        <v>254501.0</v>
      </c>
      <c r="H49" s="20">
        <v>104.0</v>
      </c>
      <c r="I49" s="20">
        <v>4072.0</v>
      </c>
      <c r="J49" s="29" t="str">
        <f t="shared" si="1"/>
        <v>100000,768,64</v>
      </c>
    </row>
    <row r="50">
      <c r="A50" s="56"/>
      <c r="B50" s="56"/>
      <c r="C50" s="56"/>
      <c r="D50" s="56"/>
      <c r="E50" s="56"/>
      <c r="F50" s="56"/>
      <c r="G50" s="56"/>
      <c r="H50" s="56"/>
      <c r="I50" s="56"/>
    </row>
    <row r="51">
      <c r="A51" s="21" t="s">
        <v>133</v>
      </c>
      <c r="B51" s="63">
        <v>256512.0</v>
      </c>
      <c r="C51" s="21"/>
      <c r="D51" s="21"/>
      <c r="E51" s="21"/>
      <c r="F51" s="21"/>
      <c r="G51" s="21"/>
      <c r="H51" s="21"/>
      <c r="I51" s="21"/>
    </row>
    <row r="52">
      <c r="A52" s="21" t="s">
        <v>134</v>
      </c>
      <c r="B52" s="21" t="s">
        <v>135</v>
      </c>
      <c r="C52" s="21" t="s">
        <v>136</v>
      </c>
      <c r="D52" s="21">
        <v>64.0</v>
      </c>
      <c r="E52" s="21"/>
      <c r="F52" s="21"/>
      <c r="G52" s="21"/>
      <c r="H52" s="21"/>
      <c r="I52" s="21"/>
    </row>
    <row r="53">
      <c r="A53" s="20" t="s">
        <v>93</v>
      </c>
      <c r="B53" s="20" t="s">
        <v>115</v>
      </c>
      <c r="C53" s="20" t="s">
        <v>137</v>
      </c>
      <c r="D53" s="20" t="s">
        <v>117</v>
      </c>
      <c r="E53" s="20" t="s">
        <v>138</v>
      </c>
      <c r="F53" s="20" t="s">
        <v>118</v>
      </c>
      <c r="G53" s="20"/>
      <c r="H53" s="20"/>
      <c r="I53" s="20"/>
    </row>
    <row r="54">
      <c r="A54" s="56"/>
      <c r="B54" s="56"/>
      <c r="C54" s="56"/>
      <c r="D54" s="56"/>
      <c r="E54" s="56"/>
      <c r="F54" s="56"/>
      <c r="G54" s="56"/>
      <c r="H54" s="56"/>
      <c r="I54" s="56"/>
    </row>
    <row r="55">
      <c r="A55" s="20" t="s">
        <v>125</v>
      </c>
      <c r="B55" s="20">
        <v>512.0</v>
      </c>
      <c r="C55" s="20" t="s">
        <v>93</v>
      </c>
      <c r="D55" s="20" t="s">
        <v>115</v>
      </c>
      <c r="E55" s="20" t="s">
        <v>118</v>
      </c>
      <c r="F55" s="20"/>
      <c r="G55" s="20"/>
      <c r="H55" s="20"/>
      <c r="I55" s="20"/>
    </row>
    <row r="56">
      <c r="A56" s="56"/>
      <c r="B56" s="56"/>
      <c r="C56" s="56"/>
      <c r="D56" s="56"/>
      <c r="E56" s="56"/>
      <c r="F56" s="56"/>
      <c r="G56" s="56"/>
      <c r="H56" s="56"/>
      <c r="I56" s="56"/>
    </row>
    <row r="57">
      <c r="A57" s="20" t="s">
        <v>107</v>
      </c>
      <c r="B57" s="20" t="s">
        <v>99</v>
      </c>
      <c r="C57" s="20" t="s">
        <v>100</v>
      </c>
      <c r="D57" s="20" t="s">
        <v>109</v>
      </c>
      <c r="E57" s="20" t="s">
        <v>110</v>
      </c>
      <c r="F57" s="20" t="s">
        <v>111</v>
      </c>
      <c r="G57" s="20" t="s">
        <v>112</v>
      </c>
      <c r="H57" s="20" t="s">
        <v>113</v>
      </c>
      <c r="I57" s="20" t="s">
        <v>101</v>
      </c>
      <c r="J57" s="23" t="s">
        <v>139</v>
      </c>
    </row>
    <row r="58">
      <c r="A58" s="20">
        <v>10000.0</v>
      </c>
      <c r="B58" s="20">
        <v>128.0</v>
      </c>
      <c r="C58" s="20">
        <v>16.0</v>
      </c>
      <c r="D58" s="20">
        <v>4.52667288E8</v>
      </c>
      <c r="E58" s="20">
        <v>227639.0</v>
      </c>
      <c r="F58" s="20">
        <v>17950.0</v>
      </c>
      <c r="G58" s="20">
        <v>17950.0</v>
      </c>
      <c r="H58" s="20">
        <v>11557.0</v>
      </c>
      <c r="I58" s="20">
        <v>184.0</v>
      </c>
      <c r="J58" s="29">
        <f t="shared" ref="J58:J105" si="2">I2/I58</f>
        <v>2.14673913</v>
      </c>
    </row>
    <row r="59">
      <c r="A59" s="20">
        <v>10000.0</v>
      </c>
      <c r="B59" s="20">
        <v>128.0</v>
      </c>
      <c r="C59" s="20">
        <v>32.0</v>
      </c>
      <c r="D59" s="20">
        <v>4.5282746E8</v>
      </c>
      <c r="E59" s="20">
        <v>234000.0</v>
      </c>
      <c r="F59" s="20">
        <v>16590.0</v>
      </c>
      <c r="G59" s="20">
        <v>16590.0</v>
      </c>
      <c r="H59" s="20">
        <v>11558.0</v>
      </c>
      <c r="I59" s="20">
        <v>147.0</v>
      </c>
      <c r="J59" s="29">
        <f t="shared" si="2"/>
        <v>4.299319728</v>
      </c>
    </row>
    <row r="60">
      <c r="A60" s="20">
        <v>10000.0</v>
      </c>
      <c r="B60" s="20">
        <v>128.0</v>
      </c>
      <c r="C60" s="20">
        <v>64.0</v>
      </c>
      <c r="D60" s="20">
        <v>4.52311238E8</v>
      </c>
      <c r="E60" s="20">
        <v>228790.0</v>
      </c>
      <c r="F60" s="20">
        <v>15970.0</v>
      </c>
      <c r="G60" s="20">
        <v>15970.0</v>
      </c>
      <c r="H60" s="20">
        <v>11547.0</v>
      </c>
      <c r="I60" s="20">
        <v>134.0</v>
      </c>
      <c r="J60" s="29">
        <f t="shared" si="2"/>
        <v>5.059701493</v>
      </c>
    </row>
    <row r="61">
      <c r="A61" s="20">
        <v>32128.0</v>
      </c>
      <c r="B61" s="20">
        <v>128.0</v>
      </c>
      <c r="C61" s="20">
        <v>16.0</v>
      </c>
      <c r="D61" s="20">
        <v>1.443219381E9</v>
      </c>
      <c r="E61" s="20">
        <v>633914.0</v>
      </c>
      <c r="F61" s="20">
        <v>22512.0</v>
      </c>
      <c r="G61" s="20">
        <v>22512.0</v>
      </c>
      <c r="H61" s="20">
        <v>11546.0</v>
      </c>
      <c r="I61" s="20">
        <v>217.0</v>
      </c>
      <c r="J61" s="29">
        <f t="shared" si="2"/>
        <v>3.129032258</v>
      </c>
    </row>
    <row r="62">
      <c r="A62" s="20">
        <v>32128.0</v>
      </c>
      <c r="B62" s="20">
        <v>128.0</v>
      </c>
      <c r="C62" s="20">
        <v>32.0</v>
      </c>
      <c r="D62" s="20">
        <v>1.442605724E9</v>
      </c>
      <c r="E62" s="20">
        <v>618539.0</v>
      </c>
      <c r="F62" s="20">
        <v>19557.0</v>
      </c>
      <c r="G62" s="20">
        <v>19557.0</v>
      </c>
      <c r="H62" s="20">
        <v>11550.0</v>
      </c>
      <c r="I62" s="20">
        <v>202.0</v>
      </c>
      <c r="J62" s="29">
        <f t="shared" si="2"/>
        <v>4.386138614</v>
      </c>
    </row>
    <row r="63">
      <c r="A63" s="20">
        <v>32128.0</v>
      </c>
      <c r="B63" s="20">
        <v>128.0</v>
      </c>
      <c r="C63" s="20">
        <v>64.0</v>
      </c>
      <c r="D63" s="20">
        <v>1.443391533E9</v>
      </c>
      <c r="E63" s="20">
        <v>639161.0</v>
      </c>
      <c r="F63" s="20">
        <v>25004.0</v>
      </c>
      <c r="G63" s="20">
        <v>25004.0</v>
      </c>
      <c r="H63" s="20">
        <v>11551.0</v>
      </c>
      <c r="I63" s="20">
        <v>206.0</v>
      </c>
      <c r="J63" s="29">
        <f t="shared" si="2"/>
        <v>3.936893204</v>
      </c>
    </row>
    <row r="64">
      <c r="A64" s="20">
        <v>50000.0</v>
      </c>
      <c r="B64" s="20">
        <v>128.0</v>
      </c>
      <c r="C64" s="20">
        <v>16.0</v>
      </c>
      <c r="D64" s="20">
        <v>2.243014841E9</v>
      </c>
      <c r="E64" s="20">
        <v>928133.0</v>
      </c>
      <c r="F64" s="20">
        <v>29164.0</v>
      </c>
      <c r="G64" s="20">
        <v>29164.0</v>
      </c>
      <c r="H64" s="20">
        <v>11559.0</v>
      </c>
      <c r="I64" s="20">
        <v>231.0</v>
      </c>
      <c r="J64" s="29">
        <f t="shared" si="2"/>
        <v>3.077922078</v>
      </c>
    </row>
    <row r="65">
      <c r="A65" s="20">
        <v>50000.0</v>
      </c>
      <c r="B65" s="20">
        <v>128.0</v>
      </c>
      <c r="C65" s="20">
        <v>32.0</v>
      </c>
      <c r="D65" s="20">
        <v>2.245548885E9</v>
      </c>
      <c r="E65" s="20">
        <v>977996.0</v>
      </c>
      <c r="F65" s="20">
        <v>38297.0</v>
      </c>
      <c r="G65" s="20">
        <v>38297.0</v>
      </c>
      <c r="H65" s="20">
        <v>11617.0</v>
      </c>
      <c r="I65" s="20">
        <v>348.0</v>
      </c>
      <c r="J65" s="29">
        <f t="shared" si="2"/>
        <v>2.048850575</v>
      </c>
    </row>
    <row r="66">
      <c r="A66" s="20">
        <v>50000.0</v>
      </c>
      <c r="B66" s="20">
        <v>128.0</v>
      </c>
      <c r="C66" s="20">
        <v>64.0</v>
      </c>
      <c r="D66" s="20">
        <v>2.243250027E9</v>
      </c>
      <c r="E66" s="20">
        <v>948537.0</v>
      </c>
      <c r="F66" s="20">
        <v>30218.0</v>
      </c>
      <c r="G66" s="20">
        <v>30218.0</v>
      </c>
      <c r="H66" s="20">
        <v>11563.0</v>
      </c>
      <c r="I66" s="20">
        <v>251.0</v>
      </c>
      <c r="J66" s="29">
        <f t="shared" si="2"/>
        <v>2.800796813</v>
      </c>
    </row>
    <row r="67">
      <c r="A67" s="20">
        <v>100000.0</v>
      </c>
      <c r="B67" s="20">
        <v>128.0</v>
      </c>
      <c r="C67" s="20">
        <v>16.0</v>
      </c>
      <c r="D67" s="20">
        <v>4.482533113E9</v>
      </c>
      <c r="E67" s="20">
        <v>1901139.0</v>
      </c>
      <c r="F67" s="20">
        <v>45424.0</v>
      </c>
      <c r="G67" s="20">
        <v>45424.0</v>
      </c>
      <c r="H67" s="20">
        <v>11563.0</v>
      </c>
      <c r="I67" s="20">
        <v>296.0</v>
      </c>
      <c r="J67" s="29">
        <f t="shared" si="2"/>
        <v>2.503378378</v>
      </c>
    </row>
    <row r="68">
      <c r="A68" s="20">
        <v>100000.0</v>
      </c>
      <c r="B68" s="20">
        <v>128.0</v>
      </c>
      <c r="C68" s="20">
        <v>32.0</v>
      </c>
      <c r="D68" s="20">
        <v>4.484932245E9</v>
      </c>
      <c r="E68" s="20">
        <v>1844473.0</v>
      </c>
      <c r="F68" s="20">
        <v>46566.0</v>
      </c>
      <c r="G68" s="20">
        <v>46566.0</v>
      </c>
      <c r="H68" s="20">
        <v>11572.0</v>
      </c>
      <c r="I68" s="20">
        <v>294.0</v>
      </c>
      <c r="J68" s="29">
        <f t="shared" si="2"/>
        <v>2.476190476</v>
      </c>
    </row>
    <row r="69">
      <c r="A69" s="20">
        <v>100000.0</v>
      </c>
      <c r="B69" s="20">
        <v>128.0</v>
      </c>
      <c r="C69" s="20">
        <v>64.0</v>
      </c>
      <c r="D69" s="20">
        <v>4.481962691E9</v>
      </c>
      <c r="E69" s="20">
        <v>1869584.0</v>
      </c>
      <c r="F69" s="20">
        <v>44936.0</v>
      </c>
      <c r="G69" s="20">
        <v>44936.0</v>
      </c>
      <c r="H69" s="20">
        <v>11550.0</v>
      </c>
      <c r="I69" s="20">
        <v>200.0</v>
      </c>
      <c r="J69" s="29">
        <f t="shared" si="2"/>
        <v>3.625</v>
      </c>
    </row>
    <row r="70">
      <c r="A70" s="20">
        <v>10000.0</v>
      </c>
      <c r="B70" s="20">
        <v>256.0</v>
      </c>
      <c r="C70" s="20">
        <v>16.0</v>
      </c>
      <c r="D70" s="20">
        <v>9.00766929E8</v>
      </c>
      <c r="E70" s="20">
        <v>409611.0</v>
      </c>
      <c r="F70" s="20">
        <v>22274.0</v>
      </c>
      <c r="G70" s="20">
        <v>22274.0</v>
      </c>
      <c r="H70" s="20">
        <v>23098.0</v>
      </c>
      <c r="I70" s="20">
        <v>347.0</v>
      </c>
      <c r="J70" s="29">
        <f t="shared" si="2"/>
        <v>3.432276657</v>
      </c>
    </row>
    <row r="71">
      <c r="A71" s="20">
        <v>10000.0</v>
      </c>
      <c r="B71" s="20">
        <v>256.0</v>
      </c>
      <c r="C71" s="20">
        <v>32.0</v>
      </c>
      <c r="D71" s="20">
        <v>9.00354191E8</v>
      </c>
      <c r="E71" s="20">
        <v>403469.0</v>
      </c>
      <c r="F71" s="20">
        <v>17467.0</v>
      </c>
      <c r="G71" s="20">
        <v>17467.0</v>
      </c>
      <c r="H71" s="20">
        <v>23086.0</v>
      </c>
      <c r="I71" s="20">
        <v>287.0</v>
      </c>
      <c r="J71" s="29">
        <f t="shared" si="2"/>
        <v>3.916376307</v>
      </c>
    </row>
    <row r="72">
      <c r="A72" s="20">
        <v>10000.0</v>
      </c>
      <c r="B72" s="20">
        <v>256.0</v>
      </c>
      <c r="C72" s="20">
        <v>64.0</v>
      </c>
      <c r="D72" s="20">
        <v>9.00447053E8</v>
      </c>
      <c r="E72" s="20">
        <v>410100.0</v>
      </c>
      <c r="F72" s="20">
        <v>19695.0</v>
      </c>
      <c r="G72" s="20">
        <v>19695.0</v>
      </c>
      <c r="H72" s="20">
        <v>23105.0</v>
      </c>
      <c r="I72" s="20">
        <v>215.0</v>
      </c>
      <c r="J72" s="29">
        <f t="shared" si="2"/>
        <v>5.558139535</v>
      </c>
    </row>
    <row r="73">
      <c r="A73" s="20">
        <v>32128.0</v>
      </c>
      <c r="B73" s="20">
        <v>256.0</v>
      </c>
      <c r="C73" s="20">
        <v>16.0</v>
      </c>
      <c r="D73" s="20">
        <v>2.881511649E9</v>
      </c>
      <c r="E73" s="20">
        <v>1174435.0</v>
      </c>
      <c r="F73" s="20">
        <v>31404.0</v>
      </c>
      <c r="G73" s="20">
        <v>31404.0</v>
      </c>
      <c r="H73" s="20">
        <v>23087.0</v>
      </c>
      <c r="I73" s="20">
        <v>401.0</v>
      </c>
      <c r="J73" s="29">
        <f t="shared" si="2"/>
        <v>3.396508728</v>
      </c>
    </row>
    <row r="74">
      <c r="A74" s="20">
        <v>32128.0</v>
      </c>
      <c r="B74" s="20">
        <v>256.0</v>
      </c>
      <c r="C74" s="20">
        <v>32.0</v>
      </c>
      <c r="D74" s="20">
        <v>2.88131353E9</v>
      </c>
      <c r="E74" s="20">
        <v>1176646.0</v>
      </c>
      <c r="F74" s="20">
        <v>30519.0</v>
      </c>
      <c r="G74" s="20">
        <v>30519.0</v>
      </c>
      <c r="H74" s="20">
        <v>23080.0</v>
      </c>
      <c r="I74" s="20">
        <v>337.0</v>
      </c>
      <c r="J74" s="29">
        <f t="shared" si="2"/>
        <v>4.738872404</v>
      </c>
    </row>
    <row r="75">
      <c r="A75" s="20">
        <v>32128.0</v>
      </c>
      <c r="B75" s="20">
        <v>256.0</v>
      </c>
      <c r="C75" s="20">
        <v>64.0</v>
      </c>
      <c r="D75" s="20">
        <v>2.882813473E9</v>
      </c>
      <c r="E75" s="20">
        <v>1188145.0</v>
      </c>
      <c r="F75" s="20">
        <v>36331.0</v>
      </c>
      <c r="G75" s="20">
        <v>36331.0</v>
      </c>
      <c r="H75" s="20">
        <v>23144.0</v>
      </c>
      <c r="I75" s="20">
        <v>277.0</v>
      </c>
      <c r="J75" s="29">
        <f t="shared" si="2"/>
        <v>4.931407942</v>
      </c>
    </row>
    <row r="76">
      <c r="A76" s="20">
        <v>50000.0</v>
      </c>
      <c r="B76" s="20">
        <v>256.0</v>
      </c>
      <c r="C76" s="20">
        <v>16.0</v>
      </c>
      <c r="D76" s="20">
        <v>4.484521179E9</v>
      </c>
      <c r="E76" s="20">
        <v>1826582.0</v>
      </c>
      <c r="F76" s="20">
        <v>55724.0</v>
      </c>
      <c r="G76" s="20">
        <v>55724.0</v>
      </c>
      <c r="H76" s="20">
        <v>23095.0</v>
      </c>
      <c r="I76" s="20">
        <v>422.0</v>
      </c>
      <c r="J76" s="29">
        <f t="shared" si="2"/>
        <v>3.367298578</v>
      </c>
    </row>
    <row r="77">
      <c r="A77" s="20">
        <v>50000.0</v>
      </c>
      <c r="B77" s="20">
        <v>256.0</v>
      </c>
      <c r="C77" s="20">
        <v>32.0</v>
      </c>
      <c r="D77" s="20">
        <v>4.480840034E9</v>
      </c>
      <c r="E77" s="20">
        <v>1814739.0</v>
      </c>
      <c r="F77" s="20">
        <v>41024.0</v>
      </c>
      <c r="G77" s="20">
        <v>41024.0</v>
      </c>
      <c r="H77" s="20">
        <v>23074.0</v>
      </c>
      <c r="I77" s="20">
        <v>359.0</v>
      </c>
      <c r="J77" s="29">
        <f t="shared" si="2"/>
        <v>4.590529248</v>
      </c>
    </row>
    <row r="78">
      <c r="A78" s="20">
        <v>50000.0</v>
      </c>
      <c r="B78" s="20">
        <v>256.0</v>
      </c>
      <c r="C78" s="20">
        <v>64.0</v>
      </c>
      <c r="D78" s="20">
        <v>4.480855161E9</v>
      </c>
      <c r="E78" s="20">
        <v>1795290.0</v>
      </c>
      <c r="F78" s="20">
        <v>41654.0</v>
      </c>
      <c r="G78" s="20">
        <v>41654.0</v>
      </c>
      <c r="H78" s="20">
        <v>23092.0</v>
      </c>
      <c r="I78" s="20">
        <v>296.0</v>
      </c>
      <c r="J78" s="29">
        <f t="shared" si="2"/>
        <v>5.614864865</v>
      </c>
    </row>
    <row r="79">
      <c r="A79" s="20">
        <v>100000.0</v>
      </c>
      <c r="B79" s="20">
        <v>256.0</v>
      </c>
      <c r="C79" s="20">
        <v>16.0</v>
      </c>
      <c r="D79" s="20">
        <v>8.960326767E9</v>
      </c>
      <c r="E79" s="20">
        <v>3567013.0</v>
      </c>
      <c r="F79" s="20">
        <v>79230.0</v>
      </c>
      <c r="G79" s="20">
        <v>79230.0</v>
      </c>
      <c r="H79" s="20">
        <v>23097.0</v>
      </c>
      <c r="I79" s="20">
        <v>438.0</v>
      </c>
      <c r="J79" s="29">
        <f t="shared" si="2"/>
        <v>4.123287671</v>
      </c>
    </row>
    <row r="80">
      <c r="A80" s="20">
        <v>100000.0</v>
      </c>
      <c r="B80" s="20">
        <v>256.0</v>
      </c>
      <c r="C80" s="20">
        <v>32.0</v>
      </c>
      <c r="D80" s="20">
        <v>8.961189885E9</v>
      </c>
      <c r="E80" s="20">
        <v>3578565.0</v>
      </c>
      <c r="F80" s="20">
        <v>87235.0</v>
      </c>
      <c r="G80" s="20">
        <v>87235.0</v>
      </c>
      <c r="H80" s="20">
        <v>23167.0</v>
      </c>
      <c r="I80" s="20">
        <v>384.0</v>
      </c>
      <c r="J80" s="29">
        <f t="shared" si="2"/>
        <v>4.486979167</v>
      </c>
    </row>
    <row r="81">
      <c r="A81" s="20">
        <v>100000.0</v>
      </c>
      <c r="B81" s="20">
        <v>256.0</v>
      </c>
      <c r="C81" s="20">
        <v>64.0</v>
      </c>
      <c r="D81" s="20">
        <v>8.960597934E9</v>
      </c>
      <c r="E81" s="20">
        <v>3590876.0</v>
      </c>
      <c r="F81" s="20">
        <v>95056.0</v>
      </c>
      <c r="G81" s="20">
        <v>95056.0</v>
      </c>
      <c r="H81" s="20">
        <v>23073.0</v>
      </c>
      <c r="I81" s="20">
        <v>308.0</v>
      </c>
      <c r="J81" s="29">
        <f t="shared" si="2"/>
        <v>5.207792208</v>
      </c>
    </row>
    <row r="82">
      <c r="A82" s="20">
        <v>10000.0</v>
      </c>
      <c r="B82" s="20">
        <v>512.0</v>
      </c>
      <c r="C82" s="20">
        <v>16.0</v>
      </c>
      <c r="D82" s="20">
        <v>1.796757338E9</v>
      </c>
      <c r="E82" s="20">
        <v>773534.0</v>
      </c>
      <c r="F82" s="20">
        <v>24696.0</v>
      </c>
      <c r="G82" s="20">
        <v>24696.0</v>
      </c>
      <c r="H82" s="20">
        <v>46206.0</v>
      </c>
      <c r="I82" s="20">
        <v>698.0</v>
      </c>
      <c r="J82" s="29">
        <f t="shared" si="2"/>
        <v>3.679083095</v>
      </c>
    </row>
    <row r="83">
      <c r="A83" s="20">
        <v>10000.0</v>
      </c>
      <c r="B83" s="20">
        <v>512.0</v>
      </c>
      <c r="C83" s="20">
        <v>32.0</v>
      </c>
      <c r="D83" s="20">
        <v>1.796337282E9</v>
      </c>
      <c r="E83" s="20">
        <v>768422.0</v>
      </c>
      <c r="F83" s="20">
        <v>21651.0</v>
      </c>
      <c r="G83" s="20">
        <v>21651.0</v>
      </c>
      <c r="H83" s="20">
        <v>46191.0</v>
      </c>
      <c r="I83" s="20">
        <v>575.0</v>
      </c>
      <c r="J83" s="29">
        <f t="shared" si="2"/>
        <v>4.443478261</v>
      </c>
    </row>
    <row r="84">
      <c r="A84" s="20">
        <v>10000.0</v>
      </c>
      <c r="B84" s="20">
        <v>512.0</v>
      </c>
      <c r="C84" s="20">
        <v>64.0</v>
      </c>
      <c r="D84" s="20">
        <v>1.79734519E9</v>
      </c>
      <c r="E84" s="20">
        <v>795061.0</v>
      </c>
      <c r="F84" s="20">
        <v>28280.0</v>
      </c>
      <c r="G84" s="20">
        <v>28280.0</v>
      </c>
      <c r="H84" s="20">
        <v>46202.0</v>
      </c>
      <c r="I84" s="20">
        <v>587.0</v>
      </c>
      <c r="J84" s="29">
        <f t="shared" si="2"/>
        <v>4.332197615</v>
      </c>
    </row>
    <row r="85">
      <c r="A85" s="20">
        <v>32128.0</v>
      </c>
      <c r="B85" s="20">
        <v>512.0</v>
      </c>
      <c r="C85" s="20">
        <v>16.0</v>
      </c>
      <c r="D85" s="20">
        <v>5.759548392E9</v>
      </c>
      <c r="E85" s="20">
        <v>2401201.0</v>
      </c>
      <c r="F85" s="20">
        <v>54818.0</v>
      </c>
      <c r="G85" s="20">
        <v>54818.0</v>
      </c>
      <c r="H85" s="20">
        <v>46212.0</v>
      </c>
      <c r="I85" s="20">
        <v>956.0</v>
      </c>
      <c r="J85" s="29">
        <f t="shared" si="2"/>
        <v>2.902719665</v>
      </c>
    </row>
    <row r="86">
      <c r="A86" s="20">
        <v>32128.0</v>
      </c>
      <c r="B86" s="20">
        <v>512.0</v>
      </c>
      <c r="C86" s="20">
        <v>32.0</v>
      </c>
      <c r="D86" s="20">
        <v>5.762523547E9</v>
      </c>
      <c r="E86" s="20">
        <v>2464521.0</v>
      </c>
      <c r="F86" s="20">
        <v>69906.0</v>
      </c>
      <c r="G86" s="20">
        <v>69906.0</v>
      </c>
      <c r="H86" s="20">
        <v>46205.0</v>
      </c>
      <c r="I86" s="20">
        <v>736.0</v>
      </c>
      <c r="J86" s="29">
        <f t="shared" si="2"/>
        <v>3.597826087</v>
      </c>
    </row>
    <row r="87">
      <c r="A87" s="20">
        <v>32128.0</v>
      </c>
      <c r="B87" s="20">
        <v>512.0</v>
      </c>
      <c r="C87" s="20">
        <v>64.0</v>
      </c>
      <c r="D87" s="20">
        <v>5.760071813E9</v>
      </c>
      <c r="E87" s="20">
        <v>2372107.0</v>
      </c>
      <c r="F87" s="20">
        <v>57198.0</v>
      </c>
      <c r="G87" s="20">
        <v>57198.0</v>
      </c>
      <c r="H87" s="20">
        <v>46215.0</v>
      </c>
      <c r="I87" s="20">
        <v>664.0</v>
      </c>
      <c r="J87" s="29">
        <f t="shared" si="2"/>
        <v>4.209337349</v>
      </c>
    </row>
    <row r="88">
      <c r="A88" s="20">
        <v>50000.0</v>
      </c>
      <c r="B88" s="20">
        <v>512.0</v>
      </c>
      <c r="C88" s="20">
        <v>16.0</v>
      </c>
      <c r="D88" s="20">
        <v>8.967773509E9</v>
      </c>
      <c r="E88" s="20">
        <v>3819429.0</v>
      </c>
      <c r="F88" s="20">
        <v>94671.0</v>
      </c>
      <c r="G88" s="20">
        <v>94671.0</v>
      </c>
      <c r="H88" s="20">
        <v>46290.0</v>
      </c>
      <c r="I88" s="20">
        <v>874.0</v>
      </c>
      <c r="J88" s="29">
        <f t="shared" si="2"/>
        <v>3.221967963</v>
      </c>
    </row>
    <row r="89">
      <c r="A89" s="20">
        <v>50000.0</v>
      </c>
      <c r="B89" s="20">
        <v>512.0</v>
      </c>
      <c r="C89" s="20">
        <v>32.0</v>
      </c>
      <c r="D89" s="20">
        <v>8.965985963E9</v>
      </c>
      <c r="E89" s="20">
        <v>3718550.0</v>
      </c>
      <c r="F89" s="20">
        <v>94464.0</v>
      </c>
      <c r="G89" s="20">
        <v>94464.0</v>
      </c>
      <c r="H89" s="20">
        <v>46211.0</v>
      </c>
      <c r="I89" s="20">
        <v>890.0</v>
      </c>
      <c r="J89" s="29">
        <f t="shared" si="2"/>
        <v>3.620224719</v>
      </c>
    </row>
    <row r="90">
      <c r="A90" s="20">
        <v>50000.0</v>
      </c>
      <c r="B90" s="20">
        <v>512.0</v>
      </c>
      <c r="C90" s="20">
        <v>64.0</v>
      </c>
      <c r="D90" s="20">
        <v>8.968956215E9</v>
      </c>
      <c r="E90" s="20">
        <v>3715789.0</v>
      </c>
      <c r="F90" s="20">
        <v>109636.0</v>
      </c>
      <c r="G90" s="20">
        <v>109636.0</v>
      </c>
      <c r="H90" s="20">
        <v>46328.0</v>
      </c>
      <c r="I90" s="20">
        <v>812.0</v>
      </c>
      <c r="J90" s="29">
        <f t="shared" si="2"/>
        <v>3.816502463</v>
      </c>
    </row>
    <row r="91">
      <c r="A91" s="20">
        <v>100000.0</v>
      </c>
      <c r="B91" s="20">
        <v>512.0</v>
      </c>
      <c r="C91" s="20">
        <v>16.0</v>
      </c>
      <c r="D91" s="20">
        <v>1.7930249693E10</v>
      </c>
      <c r="E91" s="20">
        <v>7684496.0</v>
      </c>
      <c r="F91" s="20">
        <v>166088.0</v>
      </c>
      <c r="G91" s="20">
        <v>166088.0</v>
      </c>
      <c r="H91" s="20">
        <v>46210.0</v>
      </c>
      <c r="I91" s="20">
        <v>754.0</v>
      </c>
      <c r="J91" s="29">
        <f t="shared" si="2"/>
        <v>4.151193634</v>
      </c>
    </row>
    <row r="92">
      <c r="A92" s="20">
        <v>100000.0</v>
      </c>
      <c r="B92" s="20">
        <v>512.0</v>
      </c>
      <c r="C92" s="20">
        <v>32.0</v>
      </c>
      <c r="D92" s="20">
        <v>1.7934200659E10</v>
      </c>
      <c r="E92" s="20">
        <v>7497281.0</v>
      </c>
      <c r="F92" s="20">
        <v>175604.0</v>
      </c>
      <c r="G92" s="20">
        <v>175604.0</v>
      </c>
      <c r="H92" s="20">
        <v>46189.0</v>
      </c>
      <c r="I92" s="20">
        <v>720.0</v>
      </c>
      <c r="J92" s="29">
        <f t="shared" si="2"/>
        <v>4.809722222</v>
      </c>
    </row>
    <row r="93">
      <c r="A93" s="20">
        <v>100000.0</v>
      </c>
      <c r="B93" s="20">
        <v>512.0</v>
      </c>
      <c r="C93" s="20">
        <v>64.0</v>
      </c>
      <c r="D93" s="20">
        <v>1.7921495827E10</v>
      </c>
      <c r="E93" s="20">
        <v>7228139.0</v>
      </c>
      <c r="F93" s="20">
        <v>164007.0</v>
      </c>
      <c r="G93" s="20">
        <v>164007.0</v>
      </c>
      <c r="H93" s="20">
        <v>46203.0</v>
      </c>
      <c r="I93" s="20">
        <v>532.0</v>
      </c>
      <c r="J93" s="29">
        <f t="shared" si="2"/>
        <v>5.770676692</v>
      </c>
    </row>
    <row r="94">
      <c r="A94" s="20">
        <v>10000.0</v>
      </c>
      <c r="B94" s="20">
        <v>768.0</v>
      </c>
      <c r="C94" s="20">
        <v>16.0</v>
      </c>
      <c r="D94" s="20">
        <v>2.692755263E9</v>
      </c>
      <c r="E94" s="20">
        <v>1274542.0</v>
      </c>
      <c r="F94" s="20">
        <v>30192.0</v>
      </c>
      <c r="G94" s="20">
        <v>30192.0</v>
      </c>
      <c r="H94" s="20">
        <v>69260.0</v>
      </c>
      <c r="I94" s="20">
        <v>1012.0</v>
      </c>
      <c r="J94" s="29">
        <f t="shared" si="2"/>
        <v>3.956521739</v>
      </c>
    </row>
    <row r="95">
      <c r="A95" s="20">
        <v>10000.0</v>
      </c>
      <c r="B95" s="20">
        <v>768.0</v>
      </c>
      <c r="C95" s="20">
        <v>32.0</v>
      </c>
      <c r="D95" s="20">
        <v>2.693376658E9</v>
      </c>
      <c r="E95" s="20">
        <v>1153364.0</v>
      </c>
      <c r="F95" s="20">
        <v>35483.0</v>
      </c>
      <c r="G95" s="20">
        <v>35483.0</v>
      </c>
      <c r="H95" s="20">
        <v>69309.0</v>
      </c>
      <c r="I95" s="20">
        <v>1386.0</v>
      </c>
      <c r="J95" s="29">
        <f t="shared" si="2"/>
        <v>3.383838384</v>
      </c>
    </row>
    <row r="96">
      <c r="A96" s="20">
        <v>10000.0</v>
      </c>
      <c r="B96" s="20">
        <v>768.0</v>
      </c>
      <c r="C96" s="20">
        <v>64.0</v>
      </c>
      <c r="D96" s="20">
        <v>2.695235762E9</v>
      </c>
      <c r="E96" s="20">
        <v>1175021.0</v>
      </c>
      <c r="F96" s="20">
        <v>47138.0</v>
      </c>
      <c r="G96" s="20">
        <v>47138.0</v>
      </c>
      <c r="H96" s="20">
        <v>69239.0</v>
      </c>
      <c r="I96" s="20">
        <v>649.0</v>
      </c>
      <c r="J96" s="29">
        <f t="shared" si="2"/>
        <v>6.742681048</v>
      </c>
    </row>
    <row r="97">
      <c r="A97" s="20">
        <v>32128.0</v>
      </c>
      <c r="B97" s="20">
        <v>768.0</v>
      </c>
      <c r="C97" s="20">
        <v>16.0</v>
      </c>
      <c r="D97" s="20">
        <v>8.644013453E9</v>
      </c>
      <c r="E97" s="20">
        <v>3593758.0</v>
      </c>
      <c r="F97" s="20">
        <v>103925.0</v>
      </c>
      <c r="G97" s="20">
        <v>103925.0</v>
      </c>
      <c r="H97" s="20">
        <v>69281.0</v>
      </c>
      <c r="I97" s="20">
        <v>1389.0</v>
      </c>
      <c r="J97" s="29">
        <f t="shared" si="2"/>
        <v>3.196544276</v>
      </c>
    </row>
    <row r="98">
      <c r="A98" s="20">
        <v>32128.0</v>
      </c>
      <c r="B98" s="20">
        <v>768.0</v>
      </c>
      <c r="C98" s="20">
        <v>32.0</v>
      </c>
      <c r="D98" s="20">
        <v>8.6429323E9</v>
      </c>
      <c r="E98" s="20">
        <v>3673501.0</v>
      </c>
      <c r="F98" s="20">
        <v>97104.0</v>
      </c>
      <c r="G98" s="20">
        <v>97104.0</v>
      </c>
      <c r="H98" s="20">
        <v>69268.0</v>
      </c>
      <c r="I98" s="20">
        <v>1091.0</v>
      </c>
      <c r="J98" s="29">
        <f t="shared" si="2"/>
        <v>4.091659028</v>
      </c>
    </row>
    <row r="99">
      <c r="A99" s="20">
        <v>32128.0</v>
      </c>
      <c r="B99" s="20">
        <v>768.0</v>
      </c>
      <c r="C99" s="20">
        <v>64.0</v>
      </c>
      <c r="D99" s="20">
        <v>8.643594689E9</v>
      </c>
      <c r="E99" s="20">
        <v>3660656.0</v>
      </c>
      <c r="F99" s="20">
        <v>98153.0</v>
      </c>
      <c r="G99" s="20">
        <v>98153.0</v>
      </c>
      <c r="H99" s="20">
        <v>69245.0</v>
      </c>
      <c r="I99" s="20">
        <v>872.0</v>
      </c>
      <c r="J99" s="29">
        <f t="shared" si="2"/>
        <v>6.060779817</v>
      </c>
    </row>
    <row r="100">
      <c r="A100" s="20">
        <v>50000.0</v>
      </c>
      <c r="B100" s="20">
        <v>768.0</v>
      </c>
      <c r="C100" s="20">
        <v>16.0</v>
      </c>
      <c r="D100" s="20">
        <v>1.3454159513E10</v>
      </c>
      <c r="E100" s="20">
        <v>5836802.0</v>
      </c>
      <c r="F100" s="20">
        <v>135616.0</v>
      </c>
      <c r="G100" s="20">
        <v>135616.0</v>
      </c>
      <c r="H100" s="20">
        <v>69238.0</v>
      </c>
      <c r="I100" s="20">
        <v>1084.0</v>
      </c>
      <c r="J100" s="29">
        <f t="shared" si="2"/>
        <v>4.292435424</v>
      </c>
    </row>
    <row r="101">
      <c r="A101" s="20">
        <v>50000.0</v>
      </c>
      <c r="B101" s="20">
        <v>768.0</v>
      </c>
      <c r="C101" s="20">
        <v>32.0</v>
      </c>
      <c r="D101" s="20">
        <v>1.344401072E10</v>
      </c>
      <c r="E101" s="20">
        <v>5513838.0</v>
      </c>
      <c r="F101" s="20">
        <v>135733.0</v>
      </c>
      <c r="G101" s="20">
        <v>135733.0</v>
      </c>
      <c r="H101" s="20">
        <v>69268.0</v>
      </c>
      <c r="I101" s="20">
        <v>955.0</v>
      </c>
      <c r="J101" s="29">
        <f t="shared" si="2"/>
        <v>4.739267016</v>
      </c>
    </row>
    <row r="102">
      <c r="A102" s="20">
        <v>50000.0</v>
      </c>
      <c r="B102" s="20">
        <v>768.0</v>
      </c>
      <c r="C102" s="20">
        <v>64.0</v>
      </c>
      <c r="D102" s="20">
        <v>1.3446262482E10</v>
      </c>
      <c r="E102" s="20">
        <v>5594568.0</v>
      </c>
      <c r="F102" s="20">
        <v>137124.0</v>
      </c>
      <c r="G102" s="20">
        <v>137124.0</v>
      </c>
      <c r="H102" s="20">
        <v>69262.0</v>
      </c>
      <c r="I102" s="20">
        <v>751.0</v>
      </c>
      <c r="J102" s="29">
        <f t="shared" si="2"/>
        <v>6.03861518</v>
      </c>
    </row>
    <row r="103">
      <c r="A103" s="20">
        <v>100000.0</v>
      </c>
      <c r="B103" s="20">
        <v>768.0</v>
      </c>
      <c r="C103" s="20">
        <v>16.0</v>
      </c>
      <c r="D103" s="20">
        <v>2.6887459734E10</v>
      </c>
      <c r="E103" s="20">
        <v>1.1252726E7</v>
      </c>
      <c r="F103" s="20">
        <v>234869.0</v>
      </c>
      <c r="G103" s="20">
        <v>234869.0</v>
      </c>
      <c r="H103" s="20">
        <v>69273.0</v>
      </c>
      <c r="I103" s="20">
        <v>1368.0</v>
      </c>
      <c r="J103" s="29">
        <f t="shared" si="2"/>
        <v>2.953216374</v>
      </c>
    </row>
    <row r="104">
      <c r="A104" s="20">
        <v>100000.0</v>
      </c>
      <c r="B104" s="20">
        <v>768.0</v>
      </c>
      <c r="C104" s="20">
        <v>32.0</v>
      </c>
      <c r="D104" s="20">
        <v>2.688333787E10</v>
      </c>
      <c r="E104" s="20">
        <v>1.1248746E7</v>
      </c>
      <c r="F104" s="20">
        <v>232360.0</v>
      </c>
      <c r="G104" s="20">
        <v>232360.0</v>
      </c>
      <c r="H104" s="20">
        <v>69245.0</v>
      </c>
      <c r="I104" s="20">
        <v>1004.0</v>
      </c>
      <c r="J104" s="29">
        <f t="shared" si="2"/>
        <v>4.03187251</v>
      </c>
    </row>
    <row r="105">
      <c r="A105" s="20">
        <v>100000.0</v>
      </c>
      <c r="B105" s="20">
        <v>768.0</v>
      </c>
      <c r="C105" s="20">
        <v>64.0</v>
      </c>
      <c r="D105" s="20">
        <v>2.6882340172E10</v>
      </c>
      <c r="E105" s="20">
        <v>1.092555E7</v>
      </c>
      <c r="F105" s="20">
        <v>233838.0</v>
      </c>
      <c r="G105" s="20">
        <v>233838.0</v>
      </c>
      <c r="H105" s="20">
        <v>69256.0</v>
      </c>
      <c r="I105" s="20">
        <v>747.0</v>
      </c>
      <c r="J105" s="29">
        <f t="shared" si="2"/>
        <v>5.451137885</v>
      </c>
    </row>
    <row r="106">
      <c r="A106" s="20" t="s">
        <v>125</v>
      </c>
      <c r="B106" s="20">
        <v>512.0</v>
      </c>
      <c r="C106" s="20" t="s">
        <v>93</v>
      </c>
      <c r="D106" s="20" t="s">
        <v>115</v>
      </c>
      <c r="E106" s="20" t="s">
        <v>117</v>
      </c>
      <c r="F106" s="20"/>
      <c r="G106" s="20"/>
      <c r="H106" s="20"/>
      <c r="I106" s="20"/>
      <c r="J106" s="59"/>
      <c r="K106" s="60"/>
    </row>
    <row r="107">
      <c r="A107" s="20" t="s">
        <v>107</v>
      </c>
      <c r="B107" s="20" t="s">
        <v>99</v>
      </c>
      <c r="C107" s="20" t="s">
        <v>100</v>
      </c>
      <c r="D107" s="20" t="s">
        <v>109</v>
      </c>
      <c r="E107" s="20" t="s">
        <v>110</v>
      </c>
      <c r="F107" s="20" t="s">
        <v>111</v>
      </c>
      <c r="G107" s="20" t="s">
        <v>112</v>
      </c>
      <c r="H107" s="20" t="s">
        <v>113</v>
      </c>
      <c r="I107" s="20" t="s">
        <v>101</v>
      </c>
      <c r="J107" s="23" t="s">
        <v>140</v>
      </c>
      <c r="K107" s="60"/>
    </row>
    <row r="108">
      <c r="A108" s="20">
        <v>10000.0</v>
      </c>
      <c r="B108" s="20">
        <v>128.0</v>
      </c>
      <c r="C108" s="20">
        <v>16.0</v>
      </c>
      <c r="D108" s="20">
        <v>4.52712203E8</v>
      </c>
      <c r="E108" s="20">
        <v>238955.0</v>
      </c>
      <c r="F108" s="20">
        <v>8560.0</v>
      </c>
      <c r="G108" s="20">
        <v>8560.0</v>
      </c>
      <c r="H108" s="20">
        <v>11549.0</v>
      </c>
      <c r="I108" s="20">
        <v>127.0</v>
      </c>
      <c r="J108" s="59">
        <f t="shared" ref="J108:J155" si="3">I2/I108</f>
        <v>3.11023622</v>
      </c>
      <c r="K108" s="60"/>
    </row>
    <row r="109">
      <c r="A109" s="20">
        <v>10000.0</v>
      </c>
      <c r="B109" s="20">
        <v>256.0</v>
      </c>
      <c r="C109" s="20">
        <v>16.0</v>
      </c>
      <c r="D109" s="20">
        <v>9.01614161E8</v>
      </c>
      <c r="E109" s="20">
        <v>440775.0</v>
      </c>
      <c r="F109" s="20">
        <v>15682.0</v>
      </c>
      <c r="G109" s="20">
        <v>15682.0</v>
      </c>
      <c r="H109" s="20">
        <v>23084.0</v>
      </c>
      <c r="I109" s="20">
        <v>308.0</v>
      </c>
      <c r="J109" s="59">
        <f t="shared" si="3"/>
        <v>2.051948052</v>
      </c>
      <c r="K109" s="60"/>
    </row>
    <row r="110">
      <c r="A110" s="20">
        <v>10000.0</v>
      </c>
      <c r="B110" s="20">
        <v>512.0</v>
      </c>
      <c r="C110" s="20">
        <v>16.0</v>
      </c>
      <c r="D110" s="20">
        <v>1.797904073E9</v>
      </c>
      <c r="E110" s="20">
        <v>812196.0</v>
      </c>
      <c r="F110" s="20">
        <v>17470.0</v>
      </c>
      <c r="G110" s="20">
        <v>17470.0</v>
      </c>
      <c r="H110" s="20">
        <v>46179.0</v>
      </c>
      <c r="I110" s="20">
        <v>318.0</v>
      </c>
      <c r="J110" s="59">
        <f t="shared" si="3"/>
        <v>2.132075472</v>
      </c>
      <c r="K110" s="60"/>
    </row>
    <row r="111">
      <c r="A111" s="20">
        <v>10000.0</v>
      </c>
      <c r="B111" s="20">
        <v>768.0</v>
      </c>
      <c r="C111" s="20">
        <v>16.0</v>
      </c>
      <c r="D111" s="20">
        <v>2.695938219E9</v>
      </c>
      <c r="E111" s="20">
        <v>1187593.0</v>
      </c>
      <c r="F111" s="20">
        <v>20515.0</v>
      </c>
      <c r="G111" s="20">
        <v>20515.0</v>
      </c>
      <c r="H111" s="20">
        <v>69198.0</v>
      </c>
      <c r="I111" s="20">
        <v>515.0</v>
      </c>
      <c r="J111" s="59">
        <f t="shared" si="3"/>
        <v>1.318446602</v>
      </c>
      <c r="K111" s="60"/>
    </row>
    <row r="112">
      <c r="A112" s="20">
        <v>32128.0</v>
      </c>
      <c r="B112" s="20">
        <v>128.0</v>
      </c>
      <c r="C112" s="20">
        <v>16.0</v>
      </c>
      <c r="D112" s="20">
        <v>1.445407886E9</v>
      </c>
      <c r="E112" s="20">
        <v>653927.0</v>
      </c>
      <c r="F112" s="20">
        <v>12987.0</v>
      </c>
      <c r="G112" s="20">
        <v>12987.0</v>
      </c>
      <c r="H112" s="20">
        <v>11546.0</v>
      </c>
      <c r="I112" s="20">
        <v>170.0</v>
      </c>
      <c r="J112" s="59">
        <f t="shared" si="3"/>
        <v>5.211764706</v>
      </c>
      <c r="K112" s="60"/>
    </row>
    <row r="113">
      <c r="A113" s="20">
        <v>32128.0</v>
      </c>
      <c r="B113" s="20">
        <v>256.0</v>
      </c>
      <c r="C113" s="20">
        <v>16.0</v>
      </c>
      <c r="D113" s="20">
        <v>2.884857979E9</v>
      </c>
      <c r="E113" s="20">
        <v>1260267.0</v>
      </c>
      <c r="F113" s="20">
        <v>25096.0</v>
      </c>
      <c r="G113" s="20">
        <v>25096.0</v>
      </c>
      <c r="H113" s="20">
        <v>23077.0</v>
      </c>
      <c r="I113" s="20">
        <v>243.0</v>
      </c>
      <c r="J113" s="59">
        <f t="shared" si="3"/>
        <v>3.33744856</v>
      </c>
      <c r="K113" s="60"/>
    </row>
    <row r="114">
      <c r="A114" s="20">
        <v>32128.0</v>
      </c>
      <c r="B114" s="20">
        <v>512.0</v>
      </c>
      <c r="C114" s="20">
        <v>16.0</v>
      </c>
      <c r="D114" s="20">
        <v>5.76716398E9</v>
      </c>
      <c r="E114" s="20">
        <v>2590412.0</v>
      </c>
      <c r="F114" s="20">
        <v>51136.0</v>
      </c>
      <c r="G114" s="20">
        <v>51136.0</v>
      </c>
      <c r="H114" s="20">
        <v>46182.0</v>
      </c>
      <c r="I114" s="20">
        <v>487.0</v>
      </c>
      <c r="J114" s="59">
        <f t="shared" si="3"/>
        <v>1.459958932</v>
      </c>
      <c r="K114" s="60"/>
    </row>
    <row r="115">
      <c r="A115" s="20">
        <v>32128.0</v>
      </c>
      <c r="B115" s="20">
        <v>768.0</v>
      </c>
      <c r="C115" s="20">
        <v>16.0</v>
      </c>
      <c r="D115" s="20">
        <v>8.646892307E9</v>
      </c>
      <c r="E115" s="20">
        <v>3617575.0</v>
      </c>
      <c r="F115" s="20">
        <v>24529.0</v>
      </c>
      <c r="G115" s="20">
        <v>24529.0</v>
      </c>
      <c r="H115" s="20">
        <v>69221.0</v>
      </c>
      <c r="I115" s="20">
        <v>500.0</v>
      </c>
      <c r="J115" s="59">
        <f t="shared" si="3"/>
        <v>1.426</v>
      </c>
      <c r="K115" s="60"/>
    </row>
    <row r="116">
      <c r="A116" s="20">
        <v>50000.0</v>
      </c>
      <c r="B116" s="20">
        <v>128.0</v>
      </c>
      <c r="C116" s="20">
        <v>16.0</v>
      </c>
      <c r="D116" s="20">
        <v>2.246700946E9</v>
      </c>
      <c r="E116" s="20">
        <v>1003875.0</v>
      </c>
      <c r="F116" s="20">
        <v>16734.0</v>
      </c>
      <c r="G116" s="20">
        <v>16734.0</v>
      </c>
      <c r="H116" s="20">
        <v>11548.0</v>
      </c>
      <c r="I116" s="20">
        <v>201.0</v>
      </c>
      <c r="J116" s="59">
        <f t="shared" si="3"/>
        <v>3.497512438</v>
      </c>
      <c r="K116" s="60"/>
    </row>
    <row r="117">
      <c r="A117" s="20">
        <v>50000.0</v>
      </c>
      <c r="B117" s="20">
        <v>256.0</v>
      </c>
      <c r="C117" s="20">
        <v>16.0</v>
      </c>
      <c r="D117" s="20">
        <v>4.488126925E9</v>
      </c>
      <c r="E117" s="20">
        <v>1951452.0</v>
      </c>
      <c r="F117" s="20">
        <v>29206.0</v>
      </c>
      <c r="G117" s="20">
        <v>29206.0</v>
      </c>
      <c r="H117" s="20">
        <v>23082.0</v>
      </c>
      <c r="I117" s="20">
        <v>288.0</v>
      </c>
      <c r="J117" s="59">
        <f t="shared" si="3"/>
        <v>2.572916667</v>
      </c>
      <c r="K117" s="60"/>
    </row>
    <row r="118">
      <c r="A118" s="20">
        <v>50000.0</v>
      </c>
      <c r="B118" s="20">
        <v>512.0</v>
      </c>
      <c r="C118" s="20">
        <v>16.0</v>
      </c>
      <c r="D118" s="20">
        <v>8.972272257E9</v>
      </c>
      <c r="E118" s="20">
        <v>3896467.0</v>
      </c>
      <c r="F118" s="20">
        <v>72568.0</v>
      </c>
      <c r="G118" s="20">
        <v>72568.0</v>
      </c>
      <c r="H118" s="20">
        <v>46179.0</v>
      </c>
      <c r="I118" s="20">
        <v>382.0</v>
      </c>
      <c r="J118" s="59">
        <f t="shared" si="3"/>
        <v>1.905759162</v>
      </c>
      <c r="K118" s="60"/>
    </row>
    <row r="119">
      <c r="A119" s="20">
        <v>50000.0</v>
      </c>
      <c r="B119" s="20">
        <v>768.0</v>
      </c>
      <c r="C119" s="20">
        <v>16.0</v>
      </c>
      <c r="D119" s="20">
        <v>1.344631161E10</v>
      </c>
      <c r="E119" s="20">
        <v>5414319.0</v>
      </c>
      <c r="F119" s="20">
        <v>38661.0</v>
      </c>
      <c r="G119" s="20">
        <v>38661.0</v>
      </c>
      <c r="H119" s="20">
        <v>69233.0</v>
      </c>
      <c r="I119" s="20">
        <v>500.0</v>
      </c>
      <c r="J119" s="59">
        <f t="shared" si="3"/>
        <v>1.45</v>
      </c>
      <c r="K119" s="60"/>
    </row>
    <row r="120">
      <c r="A120" s="20">
        <v>100000.0</v>
      </c>
      <c r="B120" s="20">
        <v>128.0</v>
      </c>
      <c r="C120" s="20">
        <v>16.0</v>
      </c>
      <c r="D120" s="20">
        <v>4.48726347E9</v>
      </c>
      <c r="E120" s="20">
        <v>1936837.0</v>
      </c>
      <c r="F120" s="20">
        <v>22076.0</v>
      </c>
      <c r="G120" s="20">
        <v>22076.0</v>
      </c>
      <c r="H120" s="20">
        <v>11539.0</v>
      </c>
      <c r="I120" s="20">
        <v>207.0</v>
      </c>
      <c r="J120" s="59">
        <f t="shared" si="3"/>
        <v>5.753623188</v>
      </c>
      <c r="K120" s="60"/>
    </row>
    <row r="121">
      <c r="A121" s="20">
        <v>100000.0</v>
      </c>
      <c r="B121" s="20">
        <v>256.0</v>
      </c>
      <c r="C121" s="20">
        <v>16.0</v>
      </c>
      <c r="D121" s="20">
        <v>8.970758425E9</v>
      </c>
      <c r="E121" s="20">
        <v>4080906.0</v>
      </c>
      <c r="F121" s="20">
        <v>57029.0</v>
      </c>
      <c r="G121" s="20">
        <v>57029.0</v>
      </c>
      <c r="H121" s="20">
        <v>23102.0</v>
      </c>
      <c r="I121" s="20">
        <v>429.0</v>
      </c>
      <c r="J121" s="59">
        <f t="shared" si="3"/>
        <v>2.62004662</v>
      </c>
      <c r="K121" s="60"/>
    </row>
    <row r="122">
      <c r="A122" s="20">
        <v>100000.0</v>
      </c>
      <c r="B122" s="20">
        <v>512.0</v>
      </c>
      <c r="C122" s="20">
        <v>16.0</v>
      </c>
      <c r="D122" s="20">
        <v>1.7934342002E10</v>
      </c>
      <c r="E122" s="20">
        <v>7680080.0</v>
      </c>
      <c r="F122" s="20">
        <v>81843.0</v>
      </c>
      <c r="G122" s="20">
        <v>81843.0</v>
      </c>
      <c r="H122" s="20">
        <v>46159.0</v>
      </c>
      <c r="I122" s="20">
        <v>386.0</v>
      </c>
      <c r="J122" s="59">
        <f t="shared" si="3"/>
        <v>3.095854922</v>
      </c>
      <c r="K122" s="60"/>
    </row>
    <row r="123">
      <c r="A123" s="20">
        <v>100000.0</v>
      </c>
      <c r="B123" s="20">
        <v>768.0</v>
      </c>
      <c r="C123" s="20">
        <v>16.0</v>
      </c>
      <c r="D123" s="20">
        <v>2.6893682069E10</v>
      </c>
      <c r="E123" s="20">
        <v>1.0916642E7</v>
      </c>
      <c r="F123" s="20">
        <v>71878.0</v>
      </c>
      <c r="G123" s="20">
        <v>71878.0</v>
      </c>
      <c r="H123" s="20">
        <v>69220.0</v>
      </c>
      <c r="I123" s="20">
        <v>515.0</v>
      </c>
      <c r="J123" s="59">
        <f t="shared" si="3"/>
        <v>2.644660194</v>
      </c>
      <c r="K123" s="60"/>
    </row>
    <row r="124">
      <c r="A124" s="20">
        <v>10000.0</v>
      </c>
      <c r="B124" s="20">
        <v>128.0</v>
      </c>
      <c r="C124" s="20">
        <v>32.0</v>
      </c>
      <c r="D124" s="20">
        <v>4.52668738E8</v>
      </c>
      <c r="E124" s="20">
        <v>244552.0</v>
      </c>
      <c r="F124" s="20">
        <v>8474.0</v>
      </c>
      <c r="G124" s="20">
        <v>8474.0</v>
      </c>
      <c r="H124" s="20">
        <v>11550.0</v>
      </c>
      <c r="I124" s="20">
        <v>130.0</v>
      </c>
      <c r="J124" s="59">
        <f t="shared" si="3"/>
        <v>12.28461538</v>
      </c>
      <c r="K124" s="60"/>
    </row>
    <row r="125">
      <c r="A125" s="20">
        <v>10000.0</v>
      </c>
      <c r="B125" s="20">
        <v>256.0</v>
      </c>
      <c r="C125" s="20">
        <v>32.0</v>
      </c>
      <c r="D125" s="20">
        <v>9.01471016E8</v>
      </c>
      <c r="E125" s="20">
        <v>484632.0</v>
      </c>
      <c r="F125" s="20">
        <v>14341.0</v>
      </c>
      <c r="G125" s="20">
        <v>14341.0</v>
      </c>
      <c r="H125" s="20">
        <v>23077.0</v>
      </c>
      <c r="I125" s="20">
        <v>381.0</v>
      </c>
      <c r="J125" s="59">
        <f t="shared" si="3"/>
        <v>3.585301837</v>
      </c>
      <c r="K125" s="60"/>
    </row>
    <row r="126">
      <c r="A126" s="20">
        <v>10000.0</v>
      </c>
      <c r="B126" s="20">
        <v>512.0</v>
      </c>
      <c r="C126" s="20">
        <v>32.0</v>
      </c>
      <c r="D126" s="20">
        <v>1.79810018E9</v>
      </c>
      <c r="E126" s="20">
        <v>802524.0</v>
      </c>
      <c r="F126" s="20">
        <v>18723.0</v>
      </c>
      <c r="G126" s="20">
        <v>18723.0</v>
      </c>
      <c r="H126" s="20">
        <v>46139.0</v>
      </c>
      <c r="I126" s="20">
        <v>344.0</v>
      </c>
      <c r="J126" s="59">
        <f t="shared" si="3"/>
        <v>4.130813953</v>
      </c>
      <c r="K126" s="60"/>
    </row>
    <row r="127">
      <c r="A127" s="20">
        <v>10000.0</v>
      </c>
      <c r="B127" s="20">
        <v>768.0</v>
      </c>
      <c r="C127" s="20">
        <v>32.0</v>
      </c>
      <c r="D127" s="20">
        <v>2.694891099E9</v>
      </c>
      <c r="E127" s="20">
        <v>1164984.0</v>
      </c>
      <c r="F127" s="20">
        <v>14821.0</v>
      </c>
      <c r="G127" s="20">
        <v>14821.0</v>
      </c>
      <c r="H127" s="20">
        <v>69237.0</v>
      </c>
      <c r="I127" s="20">
        <v>483.0</v>
      </c>
      <c r="J127" s="59">
        <f t="shared" si="3"/>
        <v>3.412008282</v>
      </c>
      <c r="K127" s="60"/>
    </row>
    <row r="128">
      <c r="A128" s="20">
        <v>32128.0</v>
      </c>
      <c r="B128" s="20">
        <v>128.0</v>
      </c>
      <c r="C128" s="20">
        <v>32.0</v>
      </c>
      <c r="D128" s="20">
        <v>1.445527577E9</v>
      </c>
      <c r="E128" s="20">
        <v>688904.0</v>
      </c>
      <c r="F128" s="20">
        <v>13108.0</v>
      </c>
      <c r="G128" s="20">
        <v>13108.0</v>
      </c>
      <c r="H128" s="20">
        <v>11540.0</v>
      </c>
      <c r="I128" s="20">
        <v>178.0</v>
      </c>
      <c r="J128" s="59">
        <f t="shared" si="3"/>
        <v>9.337078652</v>
      </c>
      <c r="K128" s="60"/>
    </row>
    <row r="129">
      <c r="A129" s="20">
        <v>32128.0</v>
      </c>
      <c r="B129" s="20">
        <v>256.0</v>
      </c>
      <c r="C129" s="20">
        <v>32.0</v>
      </c>
      <c r="D129" s="20">
        <v>2.886209793E9</v>
      </c>
      <c r="E129" s="20">
        <v>1302698.0</v>
      </c>
      <c r="F129" s="20">
        <v>27892.0</v>
      </c>
      <c r="G129" s="20">
        <v>27892.0</v>
      </c>
      <c r="H129" s="20">
        <v>23074.0</v>
      </c>
      <c r="I129" s="20">
        <v>302.0</v>
      </c>
      <c r="J129" s="59">
        <f t="shared" si="3"/>
        <v>5.98013245</v>
      </c>
      <c r="K129" s="60"/>
    </row>
    <row r="130">
      <c r="A130" s="20">
        <v>32128.0</v>
      </c>
      <c r="B130" s="20">
        <v>512.0</v>
      </c>
      <c r="C130" s="20">
        <v>32.0</v>
      </c>
      <c r="D130" s="20">
        <v>5.767517222E9</v>
      </c>
      <c r="E130" s="20">
        <v>2557385.0</v>
      </c>
      <c r="F130" s="20">
        <v>53027.0</v>
      </c>
      <c r="G130" s="20">
        <v>53027.0</v>
      </c>
      <c r="H130" s="20">
        <v>46140.0</v>
      </c>
      <c r="I130" s="20">
        <v>521.0</v>
      </c>
      <c r="J130" s="59">
        <f t="shared" si="3"/>
        <v>3.307101727</v>
      </c>
      <c r="K130" s="60"/>
    </row>
    <row r="131">
      <c r="A131" s="20">
        <v>32128.0</v>
      </c>
      <c r="B131" s="20">
        <v>768.0</v>
      </c>
      <c r="C131" s="20">
        <v>32.0</v>
      </c>
      <c r="D131" s="20">
        <v>8.644297792E9</v>
      </c>
      <c r="E131" s="20">
        <v>3532285.0</v>
      </c>
      <c r="F131" s="20">
        <v>27696.0</v>
      </c>
      <c r="G131" s="20">
        <v>27696.0</v>
      </c>
      <c r="H131" s="20">
        <v>69226.0</v>
      </c>
      <c r="I131" s="20">
        <v>521.0</v>
      </c>
      <c r="J131" s="59">
        <f t="shared" si="3"/>
        <v>3.078694818</v>
      </c>
      <c r="K131" s="60"/>
    </row>
    <row r="132">
      <c r="A132" s="20">
        <v>50000.0</v>
      </c>
      <c r="B132" s="20">
        <v>128.0</v>
      </c>
      <c r="C132" s="20">
        <v>32.0</v>
      </c>
      <c r="D132" s="20">
        <v>2.246569177E9</v>
      </c>
      <c r="E132" s="20">
        <v>1024674.0</v>
      </c>
      <c r="F132" s="20">
        <v>17189.0</v>
      </c>
      <c r="G132" s="20">
        <v>17189.0</v>
      </c>
      <c r="H132" s="20">
        <v>11547.0</v>
      </c>
      <c r="I132" s="20">
        <v>195.0</v>
      </c>
      <c r="J132" s="59">
        <f t="shared" si="3"/>
        <v>13.16923077</v>
      </c>
      <c r="K132" s="60"/>
    </row>
    <row r="133">
      <c r="A133" s="20">
        <v>50000.0</v>
      </c>
      <c r="B133" s="20">
        <v>256.0</v>
      </c>
      <c r="C133" s="20">
        <v>32.0</v>
      </c>
      <c r="D133" s="20">
        <v>4.486620829E9</v>
      </c>
      <c r="E133" s="20">
        <v>1948244.0</v>
      </c>
      <c r="F133" s="20">
        <v>30133.0</v>
      </c>
      <c r="G133" s="20">
        <v>30133.0</v>
      </c>
      <c r="H133" s="20">
        <v>23541.0</v>
      </c>
      <c r="I133" s="20">
        <v>283.0</v>
      </c>
      <c r="J133" s="59">
        <f t="shared" si="3"/>
        <v>9.028268551</v>
      </c>
      <c r="K133" s="60"/>
    </row>
    <row r="134">
      <c r="A134" s="20">
        <v>50000.0</v>
      </c>
      <c r="B134" s="20">
        <v>512.0</v>
      </c>
      <c r="C134" s="20">
        <v>32.0</v>
      </c>
      <c r="D134" s="20">
        <v>8.968994349E9</v>
      </c>
      <c r="E134" s="20">
        <v>3865764.0</v>
      </c>
      <c r="F134" s="20">
        <v>66472.0</v>
      </c>
      <c r="G134" s="20">
        <v>66472.0</v>
      </c>
      <c r="H134" s="20">
        <v>46160.0</v>
      </c>
      <c r="I134" s="20">
        <v>485.0</v>
      </c>
      <c r="J134" s="59">
        <f t="shared" si="3"/>
        <v>5.243298969</v>
      </c>
      <c r="K134" s="60"/>
    </row>
    <row r="135">
      <c r="A135" s="20">
        <v>50000.0</v>
      </c>
      <c r="B135" s="20">
        <v>768.0</v>
      </c>
      <c r="C135" s="20">
        <v>32.0</v>
      </c>
      <c r="D135" s="20">
        <v>1.3453331714E10</v>
      </c>
      <c r="E135" s="20">
        <v>5453183.0</v>
      </c>
      <c r="F135" s="20">
        <v>35036.0</v>
      </c>
      <c r="G135" s="20">
        <v>35036.0</v>
      </c>
      <c r="H135" s="20">
        <v>69216.0</v>
      </c>
      <c r="I135" s="20">
        <v>529.0</v>
      </c>
      <c r="J135" s="59">
        <f t="shared" si="3"/>
        <v>5.245746692</v>
      </c>
      <c r="K135" s="60"/>
    </row>
    <row r="136">
      <c r="A136" s="20">
        <v>100000.0</v>
      </c>
      <c r="B136" s="20">
        <v>128.0</v>
      </c>
      <c r="C136" s="20">
        <v>32.0</v>
      </c>
      <c r="D136" s="20">
        <v>4.486767286E9</v>
      </c>
      <c r="E136" s="20">
        <v>1920583.0</v>
      </c>
      <c r="F136" s="20">
        <v>30113.0</v>
      </c>
      <c r="G136" s="20">
        <v>30113.0</v>
      </c>
      <c r="H136" s="20">
        <v>11545.0</v>
      </c>
      <c r="I136" s="20">
        <v>198.0</v>
      </c>
      <c r="J136" s="59">
        <f t="shared" si="3"/>
        <v>13.37373737</v>
      </c>
      <c r="K136" s="60"/>
    </row>
    <row r="137">
      <c r="A137" s="20">
        <v>100000.0</v>
      </c>
      <c r="B137" s="20">
        <v>256.0</v>
      </c>
      <c r="C137" s="20">
        <v>32.0</v>
      </c>
      <c r="D137" s="20">
        <v>8.966960485E9</v>
      </c>
      <c r="E137" s="20">
        <v>3895589.0</v>
      </c>
      <c r="F137" s="20">
        <v>73447.0</v>
      </c>
      <c r="G137" s="20">
        <v>73447.0</v>
      </c>
      <c r="H137" s="20">
        <v>23101.0</v>
      </c>
      <c r="I137" s="20">
        <v>362.0</v>
      </c>
      <c r="J137" s="59">
        <f t="shared" si="3"/>
        <v>7.720994475</v>
      </c>
      <c r="K137" s="60"/>
    </row>
    <row r="138">
      <c r="A138" s="20">
        <v>100000.0</v>
      </c>
      <c r="B138" s="20">
        <v>512.0</v>
      </c>
      <c r="C138" s="20">
        <v>32.0</v>
      </c>
      <c r="D138" s="20">
        <v>1.7930870277E10</v>
      </c>
      <c r="E138" s="20">
        <v>7310790.0</v>
      </c>
      <c r="F138" s="20">
        <v>80149.0</v>
      </c>
      <c r="G138" s="20">
        <v>80149.0</v>
      </c>
      <c r="H138" s="20">
        <v>46154.0</v>
      </c>
      <c r="I138" s="20">
        <v>424.0</v>
      </c>
      <c r="J138" s="59">
        <f t="shared" si="3"/>
        <v>6.641509434</v>
      </c>
      <c r="K138" s="60"/>
    </row>
    <row r="139">
      <c r="A139" s="20">
        <v>100000.0</v>
      </c>
      <c r="B139" s="20">
        <v>768.0</v>
      </c>
      <c r="C139" s="20">
        <v>32.0</v>
      </c>
      <c r="D139" s="20">
        <v>2.6933681646E10</v>
      </c>
      <c r="E139" s="20">
        <v>1.0834604E7</v>
      </c>
      <c r="F139" s="20">
        <v>82003.0</v>
      </c>
      <c r="G139" s="20">
        <v>82003.0</v>
      </c>
      <c r="H139" s="20">
        <v>69209.0</v>
      </c>
      <c r="I139" s="20">
        <v>684.0</v>
      </c>
      <c r="J139" s="59">
        <f t="shared" si="3"/>
        <v>4.710526316</v>
      </c>
      <c r="K139" s="60"/>
    </row>
    <row r="140">
      <c r="A140" s="20">
        <v>10000.0</v>
      </c>
      <c r="B140" s="20">
        <v>128.0</v>
      </c>
      <c r="C140" s="20">
        <v>64.0</v>
      </c>
      <c r="D140" s="20">
        <v>4.53436716E8</v>
      </c>
      <c r="E140" s="20">
        <v>245151.0</v>
      </c>
      <c r="F140" s="20">
        <v>10881.0</v>
      </c>
      <c r="G140" s="20">
        <v>10881.0</v>
      </c>
      <c r="H140" s="20">
        <v>11540.0</v>
      </c>
      <c r="I140" s="20">
        <v>133.0</v>
      </c>
      <c r="J140" s="59">
        <f t="shared" si="3"/>
        <v>23.30075188</v>
      </c>
      <c r="K140" s="60"/>
    </row>
    <row r="141">
      <c r="A141" s="20">
        <v>10000.0</v>
      </c>
      <c r="B141" s="20">
        <v>256.0</v>
      </c>
      <c r="C141" s="20">
        <v>64.0</v>
      </c>
      <c r="D141" s="20">
        <v>9.01524575E8</v>
      </c>
      <c r="E141" s="20">
        <v>434378.0</v>
      </c>
      <c r="F141" s="20">
        <v>15998.0</v>
      </c>
      <c r="G141" s="20">
        <v>15998.0</v>
      </c>
      <c r="H141" s="20">
        <v>23076.0</v>
      </c>
      <c r="I141" s="20">
        <v>198.0</v>
      </c>
      <c r="J141" s="59">
        <f t="shared" si="3"/>
        <v>15.80808081</v>
      </c>
      <c r="K141" s="60"/>
    </row>
    <row r="142">
      <c r="A142" s="20">
        <v>10000.0</v>
      </c>
      <c r="B142" s="20">
        <v>512.0</v>
      </c>
      <c r="C142" s="20">
        <v>64.0</v>
      </c>
      <c r="D142" s="20">
        <v>1.797703283E9</v>
      </c>
      <c r="E142" s="20">
        <v>806740.0</v>
      </c>
      <c r="F142" s="20">
        <v>18988.0</v>
      </c>
      <c r="G142" s="20">
        <v>18988.0</v>
      </c>
      <c r="H142" s="20">
        <v>46169.0</v>
      </c>
      <c r="I142" s="20">
        <v>335.0</v>
      </c>
      <c r="J142" s="59">
        <f t="shared" si="3"/>
        <v>10.33731343</v>
      </c>
      <c r="K142" s="60"/>
    </row>
    <row r="143">
      <c r="A143" s="20">
        <v>10000.0</v>
      </c>
      <c r="B143" s="20">
        <v>768.0</v>
      </c>
      <c r="C143" s="20">
        <v>64.0</v>
      </c>
      <c r="D143" s="20">
        <v>2.695921609E9</v>
      </c>
      <c r="E143" s="20">
        <v>1183201.0</v>
      </c>
      <c r="F143" s="20">
        <v>21157.0</v>
      </c>
      <c r="G143" s="20">
        <v>21157.0</v>
      </c>
      <c r="H143" s="20">
        <v>69202.0</v>
      </c>
      <c r="I143" s="20">
        <v>460.0</v>
      </c>
      <c r="J143" s="59">
        <f t="shared" si="3"/>
        <v>6.673913043</v>
      </c>
      <c r="K143" s="60"/>
    </row>
    <row r="144">
      <c r="A144" s="20">
        <v>32128.0</v>
      </c>
      <c r="B144" s="20">
        <v>128.0</v>
      </c>
      <c r="C144" s="20">
        <v>64.0</v>
      </c>
      <c r="D144" s="20">
        <v>1.445137164E9</v>
      </c>
      <c r="E144" s="20">
        <v>684869.0</v>
      </c>
      <c r="F144" s="20">
        <v>15767.0</v>
      </c>
      <c r="G144" s="20">
        <v>15767.0</v>
      </c>
      <c r="H144" s="20">
        <v>11552.0</v>
      </c>
      <c r="I144" s="20">
        <v>241.0</v>
      </c>
      <c r="J144" s="59">
        <f t="shared" si="3"/>
        <v>16.61410788</v>
      </c>
      <c r="K144" s="60"/>
    </row>
    <row r="145">
      <c r="A145" s="20">
        <v>32128.0</v>
      </c>
      <c r="B145" s="20">
        <v>256.0</v>
      </c>
      <c r="C145" s="20">
        <v>64.0</v>
      </c>
      <c r="D145" s="20">
        <v>2.884943188E9</v>
      </c>
      <c r="E145" s="20">
        <v>1350003.0</v>
      </c>
      <c r="F145" s="20">
        <v>26893.0</v>
      </c>
      <c r="G145" s="20">
        <v>26893.0</v>
      </c>
      <c r="H145" s="20">
        <v>23100.0</v>
      </c>
      <c r="I145" s="20">
        <v>466.0</v>
      </c>
      <c r="J145" s="59">
        <f t="shared" si="3"/>
        <v>10.06437768</v>
      </c>
      <c r="K145" s="60"/>
    </row>
    <row r="146">
      <c r="A146" s="20">
        <v>32128.0</v>
      </c>
      <c r="B146" s="20">
        <v>512.0</v>
      </c>
      <c r="C146" s="20">
        <v>64.0</v>
      </c>
      <c r="D146" s="20">
        <v>5.765098012E9</v>
      </c>
      <c r="E146" s="20">
        <v>3106197.0</v>
      </c>
      <c r="F146" s="20">
        <v>54803.0</v>
      </c>
      <c r="G146" s="20">
        <v>54803.0</v>
      </c>
      <c r="H146" s="20">
        <v>46166.0</v>
      </c>
      <c r="I146" s="20">
        <v>479.0</v>
      </c>
      <c r="J146" s="59">
        <f t="shared" si="3"/>
        <v>9.135699374</v>
      </c>
      <c r="K146" s="60"/>
    </row>
    <row r="147">
      <c r="A147" s="20">
        <v>32128.0</v>
      </c>
      <c r="B147" s="20">
        <v>768.0</v>
      </c>
      <c r="C147" s="20">
        <v>64.0</v>
      </c>
      <c r="D147" s="20">
        <v>8.64255968E9</v>
      </c>
      <c r="E147" s="20">
        <v>3557824.0</v>
      </c>
      <c r="F147" s="20">
        <v>39662.0</v>
      </c>
      <c r="G147" s="20">
        <v>39662.0</v>
      </c>
      <c r="H147" s="20">
        <v>69220.0</v>
      </c>
      <c r="I147" s="20">
        <v>525.0</v>
      </c>
      <c r="J147" s="59">
        <f t="shared" si="3"/>
        <v>8.457142857</v>
      </c>
      <c r="K147" s="60"/>
    </row>
    <row r="148">
      <c r="A148" s="20">
        <v>50000.0</v>
      </c>
      <c r="B148" s="20">
        <v>128.0</v>
      </c>
      <c r="C148" s="20">
        <v>64.0</v>
      </c>
      <c r="D148" s="20">
        <v>2.24627938E9</v>
      </c>
      <c r="E148" s="20">
        <v>980423.0</v>
      </c>
      <c r="F148" s="20">
        <v>18874.0</v>
      </c>
      <c r="G148" s="20">
        <v>18874.0</v>
      </c>
      <c r="H148" s="20">
        <v>11565.0</v>
      </c>
      <c r="I148" s="20">
        <v>279.0</v>
      </c>
      <c r="J148" s="59">
        <f t="shared" si="3"/>
        <v>16</v>
      </c>
      <c r="K148" s="60"/>
    </row>
    <row r="149">
      <c r="A149" s="20">
        <v>50000.0</v>
      </c>
      <c r="B149" s="20">
        <v>256.0</v>
      </c>
      <c r="C149" s="20">
        <v>64.0</v>
      </c>
      <c r="D149" s="20">
        <v>4.487311099E9</v>
      </c>
      <c r="E149" s="20">
        <v>1896102.0</v>
      </c>
      <c r="F149" s="20">
        <v>32312.0</v>
      </c>
      <c r="G149" s="20">
        <v>32312.0</v>
      </c>
      <c r="H149" s="20">
        <v>23075.0</v>
      </c>
      <c r="I149" s="20">
        <v>253.0</v>
      </c>
      <c r="J149" s="59">
        <f t="shared" si="3"/>
        <v>20.88932806</v>
      </c>
      <c r="K149" s="60"/>
    </row>
    <row r="150">
      <c r="A150" s="20">
        <v>50000.0</v>
      </c>
      <c r="B150" s="20">
        <v>512.0</v>
      </c>
      <c r="C150" s="20">
        <v>64.0</v>
      </c>
      <c r="D150" s="20">
        <v>8.968807079E9</v>
      </c>
      <c r="E150" s="20">
        <v>4038525.0</v>
      </c>
      <c r="F150" s="20">
        <v>76732.0</v>
      </c>
      <c r="G150" s="20">
        <v>76732.0</v>
      </c>
      <c r="H150" s="20">
        <v>46185.0</v>
      </c>
      <c r="I150" s="20">
        <v>505.0</v>
      </c>
      <c r="J150" s="59">
        <f t="shared" si="3"/>
        <v>9.213861386</v>
      </c>
      <c r="K150" s="60"/>
    </row>
    <row r="151">
      <c r="A151" s="20">
        <v>50000.0</v>
      </c>
      <c r="B151" s="20">
        <v>768.0</v>
      </c>
      <c r="C151" s="20">
        <v>64.0</v>
      </c>
      <c r="D151" s="20">
        <v>1.3451872123E10</v>
      </c>
      <c r="E151" s="20">
        <v>5558960.0</v>
      </c>
      <c r="F151" s="20">
        <v>52860.0</v>
      </c>
      <c r="G151" s="20">
        <v>52860.0</v>
      </c>
      <c r="H151" s="20">
        <v>69215.0</v>
      </c>
      <c r="I151" s="20">
        <v>486.0</v>
      </c>
      <c r="J151" s="59">
        <f t="shared" si="3"/>
        <v>9.312757202</v>
      </c>
      <c r="K151" s="60"/>
    </row>
    <row r="152">
      <c r="A152" s="20">
        <v>100000.0</v>
      </c>
      <c r="B152" s="20">
        <v>128.0</v>
      </c>
      <c r="C152" s="20">
        <v>64.0</v>
      </c>
      <c r="D152" s="20">
        <v>4.486647181E9</v>
      </c>
      <c r="E152" s="20">
        <v>1917965.0</v>
      </c>
      <c r="F152" s="20">
        <v>31278.0</v>
      </c>
      <c r="G152" s="20">
        <v>31278.0</v>
      </c>
      <c r="H152" s="20">
        <v>11537.0</v>
      </c>
      <c r="I152" s="20">
        <v>212.0</v>
      </c>
      <c r="J152" s="59">
        <f t="shared" si="3"/>
        <v>21.39150943</v>
      </c>
      <c r="K152" s="60"/>
    </row>
    <row r="153">
      <c r="A153" s="20">
        <v>100000.0</v>
      </c>
      <c r="B153" s="20">
        <v>256.0</v>
      </c>
      <c r="C153" s="20">
        <v>64.0</v>
      </c>
      <c r="D153" s="20">
        <v>8.967158546E9</v>
      </c>
      <c r="E153" s="20">
        <v>3849624.0</v>
      </c>
      <c r="F153" s="20">
        <v>73612.0</v>
      </c>
      <c r="G153" s="20">
        <v>73612.0</v>
      </c>
      <c r="H153" s="20">
        <v>23086.0</v>
      </c>
      <c r="I153" s="20">
        <v>275.0</v>
      </c>
      <c r="J153" s="59">
        <f t="shared" si="3"/>
        <v>14.69090909</v>
      </c>
      <c r="K153" s="60"/>
    </row>
    <row r="154">
      <c r="A154" s="20">
        <v>100000.0</v>
      </c>
      <c r="B154" s="20">
        <v>512.0</v>
      </c>
      <c r="C154" s="20">
        <v>64.0</v>
      </c>
      <c r="D154" s="20">
        <v>1.7928433142E10</v>
      </c>
      <c r="E154" s="20">
        <v>7239336.0</v>
      </c>
      <c r="F154" s="20">
        <v>77473.0</v>
      </c>
      <c r="G154" s="20">
        <v>77473.0</v>
      </c>
      <c r="H154" s="20">
        <v>46174.0</v>
      </c>
      <c r="I154" s="20">
        <v>365.0</v>
      </c>
      <c r="J154" s="59">
        <f t="shared" si="3"/>
        <v>11.09041096</v>
      </c>
      <c r="K154" s="60"/>
    </row>
    <row r="155">
      <c r="A155" s="20">
        <v>100000.0</v>
      </c>
      <c r="B155" s="20">
        <v>768.0</v>
      </c>
      <c r="C155" s="20">
        <v>64.0</v>
      </c>
      <c r="D155" s="20">
        <v>2.6935800427E10</v>
      </c>
      <c r="E155" s="20">
        <v>1.1187241E7</v>
      </c>
      <c r="F155" s="20">
        <v>76885.0</v>
      </c>
      <c r="G155" s="20">
        <v>76885.0</v>
      </c>
      <c r="H155" s="20">
        <v>69209.0</v>
      </c>
      <c r="I155" s="20">
        <v>507.0</v>
      </c>
      <c r="J155" s="59">
        <f t="shared" si="3"/>
        <v>8.031558185</v>
      </c>
      <c r="K155" s="60"/>
    </row>
    <row r="156">
      <c r="A156" s="56"/>
      <c r="B156" s="56"/>
      <c r="C156" s="56"/>
      <c r="D156" s="56"/>
      <c r="E156" s="56"/>
      <c r="F156" s="56"/>
      <c r="G156" s="56"/>
      <c r="H156" s="56"/>
      <c r="I156" s="56"/>
      <c r="J156" s="64"/>
      <c r="K156" s="61"/>
    </row>
    <row r="157">
      <c r="A157" s="20" t="s">
        <v>125</v>
      </c>
      <c r="B157" s="20">
        <v>512.0</v>
      </c>
      <c r="C157" s="20" t="s">
        <v>93</v>
      </c>
      <c r="D157" s="20" t="s">
        <v>115</v>
      </c>
      <c r="E157" s="20" t="s">
        <v>114</v>
      </c>
      <c r="F157" s="20"/>
      <c r="G157" s="20"/>
      <c r="H157" s="20"/>
      <c r="I157" s="20"/>
    </row>
    <row r="158">
      <c r="A158" s="20" t="s">
        <v>107</v>
      </c>
      <c r="B158" s="20" t="s">
        <v>99</v>
      </c>
      <c r="C158" s="20" t="s">
        <v>100</v>
      </c>
      <c r="D158" s="20" t="s">
        <v>109</v>
      </c>
      <c r="E158" s="20" t="s">
        <v>110</v>
      </c>
      <c r="F158" s="20" t="s">
        <v>111</v>
      </c>
      <c r="G158" s="20" t="s">
        <v>112</v>
      </c>
      <c r="H158" s="20" t="s">
        <v>113</v>
      </c>
      <c r="I158" s="20" t="s">
        <v>101</v>
      </c>
      <c r="J158" s="59" t="s">
        <v>141</v>
      </c>
      <c r="K158" s="60"/>
    </row>
    <row r="159">
      <c r="A159" s="20">
        <v>10000.0</v>
      </c>
      <c r="B159" s="20">
        <v>128.0</v>
      </c>
      <c r="C159" s="20">
        <v>16.0</v>
      </c>
      <c r="D159" s="20">
        <v>4.52920198E8</v>
      </c>
      <c r="E159" s="20">
        <v>257980.0</v>
      </c>
      <c r="F159" s="20">
        <v>7638.0</v>
      </c>
      <c r="G159" s="20">
        <v>7638.0</v>
      </c>
      <c r="H159" s="20">
        <v>11545.0</v>
      </c>
      <c r="I159" s="20">
        <v>137.0</v>
      </c>
      <c r="J159" s="59">
        <f t="shared" ref="J159:J206" si="4">I2/I159</f>
        <v>2.883211679</v>
      </c>
      <c r="K159" s="60"/>
    </row>
    <row r="160">
      <c r="A160" s="20">
        <v>10000.0</v>
      </c>
      <c r="B160" s="20">
        <v>128.0</v>
      </c>
      <c r="C160" s="20">
        <v>32.0</v>
      </c>
      <c r="D160" s="20">
        <v>4.52347651E8</v>
      </c>
      <c r="E160" s="20">
        <v>242216.0</v>
      </c>
      <c r="F160" s="20">
        <v>7819.0</v>
      </c>
      <c r="G160" s="20">
        <v>7819.0</v>
      </c>
      <c r="H160" s="20">
        <v>11536.0</v>
      </c>
      <c r="I160" s="20">
        <v>137.0</v>
      </c>
      <c r="J160" s="59">
        <f t="shared" si="4"/>
        <v>4.613138686</v>
      </c>
      <c r="K160" s="60"/>
    </row>
    <row r="161">
      <c r="A161" s="20">
        <v>10000.0</v>
      </c>
      <c r="B161" s="20">
        <v>128.0</v>
      </c>
      <c r="C161" s="20">
        <v>64.0</v>
      </c>
      <c r="D161" s="20">
        <v>4.52397998E8</v>
      </c>
      <c r="E161" s="20">
        <v>241419.0</v>
      </c>
      <c r="F161" s="20">
        <v>7868.0</v>
      </c>
      <c r="G161" s="20">
        <v>7868.0</v>
      </c>
      <c r="H161" s="20">
        <v>11544.0</v>
      </c>
      <c r="I161" s="20">
        <v>128.0</v>
      </c>
      <c r="J161" s="59">
        <f t="shared" si="4"/>
        <v>5.296875</v>
      </c>
      <c r="K161" s="60"/>
    </row>
    <row r="162">
      <c r="A162" s="20">
        <v>32128.0</v>
      </c>
      <c r="B162" s="20">
        <v>128.0</v>
      </c>
      <c r="C162" s="20">
        <v>16.0</v>
      </c>
      <c r="D162" s="20">
        <v>1.443675172E9</v>
      </c>
      <c r="E162" s="20">
        <v>635498.0</v>
      </c>
      <c r="F162" s="20">
        <v>12870.0</v>
      </c>
      <c r="G162" s="20">
        <v>12870.0</v>
      </c>
      <c r="H162" s="20">
        <v>11544.0</v>
      </c>
      <c r="I162" s="20">
        <v>163.0</v>
      </c>
      <c r="J162" s="59">
        <f t="shared" si="4"/>
        <v>4.165644172</v>
      </c>
      <c r="K162" s="60"/>
    </row>
    <row r="163">
      <c r="A163" s="20">
        <v>32128.0</v>
      </c>
      <c r="B163" s="20">
        <v>128.0</v>
      </c>
      <c r="C163" s="20">
        <v>32.0</v>
      </c>
      <c r="D163" s="20">
        <v>1.444150771E9</v>
      </c>
      <c r="E163" s="20">
        <v>640741.0</v>
      </c>
      <c r="F163" s="20">
        <v>14611.0</v>
      </c>
      <c r="G163" s="20">
        <v>14611.0</v>
      </c>
      <c r="H163" s="20">
        <v>11539.0</v>
      </c>
      <c r="I163" s="20">
        <v>163.0</v>
      </c>
      <c r="J163" s="59">
        <f t="shared" si="4"/>
        <v>5.435582822</v>
      </c>
      <c r="K163" s="60"/>
    </row>
    <row r="164">
      <c r="A164" s="20">
        <v>32128.0</v>
      </c>
      <c r="B164" s="20">
        <v>128.0</v>
      </c>
      <c r="C164" s="20">
        <v>64.0</v>
      </c>
      <c r="D164" s="20">
        <v>1.443074474E9</v>
      </c>
      <c r="E164" s="20">
        <v>679454.0</v>
      </c>
      <c r="F164" s="20">
        <v>13663.0</v>
      </c>
      <c r="G164" s="20">
        <v>13663.0</v>
      </c>
      <c r="H164" s="20">
        <v>11542.0</v>
      </c>
      <c r="I164" s="20">
        <v>212.0</v>
      </c>
      <c r="J164" s="59">
        <f t="shared" si="4"/>
        <v>3.825471698</v>
      </c>
      <c r="K164" s="60"/>
    </row>
    <row r="165">
      <c r="A165" s="20">
        <v>50000.0</v>
      </c>
      <c r="B165" s="20">
        <v>128.0</v>
      </c>
      <c r="C165" s="20">
        <v>16.0</v>
      </c>
      <c r="D165" s="20">
        <v>2.247828622E9</v>
      </c>
      <c r="E165" s="20">
        <v>1033163.0</v>
      </c>
      <c r="F165" s="20">
        <v>20544.0</v>
      </c>
      <c r="G165" s="20">
        <v>20544.0</v>
      </c>
      <c r="H165" s="20">
        <v>11543.0</v>
      </c>
      <c r="I165" s="20">
        <v>268.0</v>
      </c>
      <c r="J165" s="59">
        <f t="shared" si="4"/>
        <v>2.652985075</v>
      </c>
      <c r="K165" s="60"/>
    </row>
    <row r="166">
      <c r="A166" s="20">
        <v>50000.0</v>
      </c>
      <c r="B166" s="20">
        <v>128.0</v>
      </c>
      <c r="C166" s="20">
        <v>32.0</v>
      </c>
      <c r="D166" s="20">
        <v>2.247671946E9</v>
      </c>
      <c r="E166" s="20">
        <v>992741.0</v>
      </c>
      <c r="F166" s="20">
        <v>18145.0</v>
      </c>
      <c r="G166" s="20">
        <v>18145.0</v>
      </c>
      <c r="H166" s="20">
        <v>11549.0</v>
      </c>
      <c r="I166" s="20">
        <v>467.0</v>
      </c>
      <c r="J166" s="59">
        <f t="shared" si="4"/>
        <v>1.526766595</v>
      </c>
      <c r="K166" s="60"/>
    </row>
    <row r="167">
      <c r="A167" s="20">
        <v>50000.0</v>
      </c>
      <c r="B167" s="20">
        <v>128.0</v>
      </c>
      <c r="C167" s="20">
        <v>64.0</v>
      </c>
      <c r="D167" s="20">
        <v>2.246560498E9</v>
      </c>
      <c r="E167" s="20">
        <v>1035006.0</v>
      </c>
      <c r="F167" s="20">
        <v>20693.0</v>
      </c>
      <c r="G167" s="20">
        <v>20693.0</v>
      </c>
      <c r="H167" s="20">
        <v>11552.0</v>
      </c>
      <c r="I167" s="20">
        <v>247.0</v>
      </c>
      <c r="J167" s="59">
        <f t="shared" si="4"/>
        <v>2.846153846</v>
      </c>
      <c r="K167" s="60"/>
    </row>
    <row r="168">
      <c r="A168" s="20">
        <v>100000.0</v>
      </c>
      <c r="B168" s="20">
        <v>128.0</v>
      </c>
      <c r="C168" s="20">
        <v>16.0</v>
      </c>
      <c r="D168" s="20">
        <v>4.497125967E9</v>
      </c>
      <c r="E168" s="20">
        <v>2620897.0</v>
      </c>
      <c r="F168" s="20">
        <v>31027.0</v>
      </c>
      <c r="G168" s="20">
        <v>31027.0</v>
      </c>
      <c r="H168" s="20">
        <v>11561.0</v>
      </c>
      <c r="I168" s="20">
        <v>301.0</v>
      </c>
      <c r="J168" s="59">
        <f t="shared" si="4"/>
        <v>2.46179402</v>
      </c>
      <c r="K168" s="60"/>
    </row>
    <row r="169">
      <c r="A169" s="20">
        <v>100000.0</v>
      </c>
      <c r="B169" s="20">
        <v>128.0</v>
      </c>
      <c r="C169" s="20">
        <v>32.0</v>
      </c>
      <c r="D169" s="20">
        <v>4.489891732E9</v>
      </c>
      <c r="E169" s="20">
        <v>1957650.0</v>
      </c>
      <c r="F169" s="20">
        <v>24408.0</v>
      </c>
      <c r="G169" s="20">
        <v>24408.0</v>
      </c>
      <c r="H169" s="20">
        <v>11674.0</v>
      </c>
      <c r="I169" s="20">
        <v>381.0</v>
      </c>
      <c r="J169" s="59">
        <f t="shared" si="4"/>
        <v>1.910761155</v>
      </c>
      <c r="K169" s="60"/>
    </row>
    <row r="170">
      <c r="A170" s="20">
        <v>100000.0</v>
      </c>
      <c r="B170" s="20">
        <v>128.0</v>
      </c>
      <c r="C170" s="20">
        <v>64.0</v>
      </c>
      <c r="D170" s="20">
        <v>4.493001436E9</v>
      </c>
      <c r="E170" s="20">
        <v>1944621.0</v>
      </c>
      <c r="F170" s="20">
        <v>34205.0</v>
      </c>
      <c r="G170" s="20">
        <v>34205.0</v>
      </c>
      <c r="H170" s="20">
        <v>11538.0</v>
      </c>
      <c r="I170" s="20">
        <v>271.0</v>
      </c>
      <c r="J170" s="59">
        <f t="shared" si="4"/>
        <v>2.675276753</v>
      </c>
      <c r="K170" s="60"/>
    </row>
    <row r="171">
      <c r="A171" s="20">
        <v>10000.0</v>
      </c>
      <c r="B171" s="20">
        <v>256.0</v>
      </c>
      <c r="C171" s="20">
        <v>16.0</v>
      </c>
      <c r="D171" s="20">
        <v>9.01361519E8</v>
      </c>
      <c r="E171" s="20">
        <v>428384.0</v>
      </c>
      <c r="F171" s="20">
        <v>11733.0</v>
      </c>
      <c r="G171" s="20">
        <v>11733.0</v>
      </c>
      <c r="H171" s="20">
        <v>23086.0</v>
      </c>
      <c r="I171" s="20">
        <v>217.0</v>
      </c>
      <c r="J171" s="59">
        <f t="shared" si="4"/>
        <v>5.488479263</v>
      </c>
      <c r="K171" s="60"/>
    </row>
    <row r="172">
      <c r="A172" s="20">
        <v>10000.0</v>
      </c>
      <c r="B172" s="20">
        <v>256.0</v>
      </c>
      <c r="C172" s="20">
        <v>32.0</v>
      </c>
      <c r="D172" s="20">
        <v>9.01467847E8</v>
      </c>
      <c r="E172" s="20">
        <v>427995.0</v>
      </c>
      <c r="F172" s="20">
        <v>13789.0</v>
      </c>
      <c r="G172" s="20">
        <v>13789.0</v>
      </c>
      <c r="H172" s="20">
        <v>23070.0</v>
      </c>
      <c r="I172" s="20">
        <v>212.0</v>
      </c>
      <c r="J172" s="59">
        <f t="shared" si="4"/>
        <v>5.301886792</v>
      </c>
      <c r="K172" s="60"/>
    </row>
    <row r="173">
      <c r="A173" s="20">
        <v>10000.0</v>
      </c>
      <c r="B173" s="20">
        <v>256.0</v>
      </c>
      <c r="C173" s="20">
        <v>64.0</v>
      </c>
      <c r="D173" s="20">
        <v>9.0083043E8</v>
      </c>
      <c r="E173" s="20">
        <v>443256.0</v>
      </c>
      <c r="F173" s="20">
        <v>12500.0</v>
      </c>
      <c r="G173" s="20">
        <v>12500.0</v>
      </c>
      <c r="H173" s="20">
        <v>23069.0</v>
      </c>
      <c r="I173" s="20">
        <v>208.0</v>
      </c>
      <c r="J173" s="59">
        <f t="shared" si="4"/>
        <v>5.745192308</v>
      </c>
      <c r="K173" s="60"/>
    </row>
    <row r="174">
      <c r="A174" s="20">
        <v>32128.0</v>
      </c>
      <c r="B174" s="20">
        <v>256.0</v>
      </c>
      <c r="C174" s="20">
        <v>16.0</v>
      </c>
      <c r="D174" s="20">
        <v>2.888292409E9</v>
      </c>
      <c r="E174" s="20">
        <v>1283243.0</v>
      </c>
      <c r="F174" s="20">
        <v>27226.0</v>
      </c>
      <c r="G174" s="20">
        <v>27226.0</v>
      </c>
      <c r="H174" s="20">
        <v>23078.0</v>
      </c>
      <c r="I174" s="20">
        <v>332.0</v>
      </c>
      <c r="J174" s="59">
        <f t="shared" si="4"/>
        <v>4.102409639</v>
      </c>
      <c r="K174" s="60"/>
    </row>
    <row r="175">
      <c r="A175" s="20">
        <v>32128.0</v>
      </c>
      <c r="B175" s="20">
        <v>256.0</v>
      </c>
      <c r="C175" s="20">
        <v>32.0</v>
      </c>
      <c r="D175" s="20">
        <v>2.890120227E9</v>
      </c>
      <c r="E175" s="20">
        <v>1286826.0</v>
      </c>
      <c r="F175" s="20">
        <v>26756.0</v>
      </c>
      <c r="G175" s="20">
        <v>26756.0</v>
      </c>
      <c r="H175" s="20">
        <v>23081.0</v>
      </c>
      <c r="I175" s="20">
        <v>285.0</v>
      </c>
      <c r="J175" s="59">
        <f t="shared" si="4"/>
        <v>5.603508772</v>
      </c>
      <c r="K175" s="60"/>
    </row>
    <row r="176">
      <c r="A176" s="20">
        <v>32128.0</v>
      </c>
      <c r="B176" s="20">
        <v>256.0</v>
      </c>
      <c r="C176" s="20">
        <v>64.0</v>
      </c>
      <c r="D176" s="20">
        <v>2.89068566E9</v>
      </c>
      <c r="E176" s="20">
        <v>1303640.0</v>
      </c>
      <c r="F176" s="20">
        <v>22178.0</v>
      </c>
      <c r="G176" s="20">
        <v>22178.0</v>
      </c>
      <c r="H176" s="20">
        <v>23082.0</v>
      </c>
      <c r="I176" s="20">
        <v>385.0</v>
      </c>
      <c r="J176" s="59">
        <f t="shared" si="4"/>
        <v>3.548051948</v>
      </c>
      <c r="K176" s="60"/>
    </row>
    <row r="177">
      <c r="A177" s="20">
        <v>50000.0</v>
      </c>
      <c r="B177" s="20">
        <v>256.0</v>
      </c>
      <c r="C177" s="20">
        <v>16.0</v>
      </c>
      <c r="D177" s="20">
        <v>4.486122006E9</v>
      </c>
      <c r="E177" s="20">
        <v>2053175.0</v>
      </c>
      <c r="F177" s="20">
        <v>48146.0</v>
      </c>
      <c r="G177" s="20">
        <v>48146.0</v>
      </c>
      <c r="H177" s="20">
        <v>23086.0</v>
      </c>
      <c r="I177" s="20">
        <v>369.0</v>
      </c>
      <c r="J177" s="59">
        <f t="shared" si="4"/>
        <v>3.850948509</v>
      </c>
      <c r="K177" s="60"/>
    </row>
    <row r="178">
      <c r="A178" s="20">
        <v>50000.0</v>
      </c>
      <c r="B178" s="20">
        <v>256.0</v>
      </c>
      <c r="C178" s="20">
        <v>32.0</v>
      </c>
      <c r="D178" s="20">
        <v>4.486666401E9</v>
      </c>
      <c r="E178" s="20">
        <v>2040969.0</v>
      </c>
      <c r="F178" s="20">
        <v>48848.0</v>
      </c>
      <c r="G178" s="20">
        <v>48848.0</v>
      </c>
      <c r="H178" s="20">
        <v>23097.0</v>
      </c>
      <c r="I178" s="20">
        <v>455.0</v>
      </c>
      <c r="J178" s="59">
        <f t="shared" si="4"/>
        <v>3.621978022</v>
      </c>
      <c r="K178" s="60"/>
    </row>
    <row r="179">
      <c r="A179" s="20">
        <v>50000.0</v>
      </c>
      <c r="B179" s="20">
        <v>256.0</v>
      </c>
      <c r="C179" s="20">
        <v>64.0</v>
      </c>
      <c r="D179" s="20">
        <v>4.485297278E9</v>
      </c>
      <c r="E179" s="20">
        <v>2002895.0</v>
      </c>
      <c r="F179" s="20">
        <v>51912.0</v>
      </c>
      <c r="G179" s="20">
        <v>51912.0</v>
      </c>
      <c r="H179" s="20">
        <v>23091.0</v>
      </c>
      <c r="I179" s="20">
        <v>371.0</v>
      </c>
      <c r="J179" s="59">
        <f t="shared" si="4"/>
        <v>4.479784367</v>
      </c>
      <c r="K179" s="60"/>
    </row>
    <row r="180">
      <c r="A180" s="20">
        <v>100000.0</v>
      </c>
      <c r="B180" s="20">
        <v>256.0</v>
      </c>
      <c r="C180" s="20">
        <v>16.0</v>
      </c>
      <c r="D180" s="20">
        <v>8.977411463E9</v>
      </c>
      <c r="E180" s="20">
        <v>3845504.0</v>
      </c>
      <c r="F180" s="20">
        <v>58133.0</v>
      </c>
      <c r="G180" s="20">
        <v>58133.0</v>
      </c>
      <c r="H180" s="20">
        <v>23088.0</v>
      </c>
      <c r="I180" s="20">
        <v>369.0</v>
      </c>
      <c r="J180" s="59">
        <f t="shared" si="4"/>
        <v>4.894308943</v>
      </c>
      <c r="K180" s="60"/>
    </row>
    <row r="181">
      <c r="A181" s="20">
        <v>100000.0</v>
      </c>
      <c r="B181" s="20">
        <v>256.0</v>
      </c>
      <c r="C181" s="20">
        <v>32.0</v>
      </c>
      <c r="D181" s="20">
        <v>8.977652956E9</v>
      </c>
      <c r="E181" s="20">
        <v>3916820.0</v>
      </c>
      <c r="F181" s="20">
        <v>72425.0</v>
      </c>
      <c r="G181" s="20">
        <v>72425.0</v>
      </c>
      <c r="H181" s="20">
        <v>23084.0</v>
      </c>
      <c r="I181" s="20">
        <v>587.0</v>
      </c>
      <c r="J181" s="59">
        <f t="shared" si="4"/>
        <v>2.935264055</v>
      </c>
      <c r="K181" s="60"/>
    </row>
    <row r="182">
      <c r="A182" s="20">
        <v>100000.0</v>
      </c>
      <c r="B182" s="20">
        <v>256.0</v>
      </c>
      <c r="C182" s="20">
        <v>64.0</v>
      </c>
      <c r="D182" s="20">
        <v>8.972646956E9</v>
      </c>
      <c r="E182" s="20">
        <v>4087523.0</v>
      </c>
      <c r="F182" s="20">
        <v>74348.0</v>
      </c>
      <c r="G182" s="20">
        <v>74348.0</v>
      </c>
      <c r="H182" s="20">
        <v>23087.0</v>
      </c>
      <c r="I182" s="20">
        <v>610.0</v>
      </c>
      <c r="J182" s="59">
        <f t="shared" si="4"/>
        <v>2.629508197</v>
      </c>
      <c r="K182" s="60"/>
    </row>
    <row r="183">
      <c r="A183" s="20">
        <v>10000.0</v>
      </c>
      <c r="B183" s="20">
        <v>512.0</v>
      </c>
      <c r="C183" s="20">
        <v>16.0</v>
      </c>
      <c r="D183" s="20">
        <v>1.798276396E9</v>
      </c>
      <c r="E183" s="20">
        <v>807511.0</v>
      </c>
      <c r="F183" s="20">
        <v>12465.0</v>
      </c>
      <c r="G183" s="20">
        <v>12465.0</v>
      </c>
      <c r="H183" s="20">
        <v>46183.0</v>
      </c>
      <c r="I183" s="20">
        <v>319.0</v>
      </c>
      <c r="J183" s="59">
        <f t="shared" si="4"/>
        <v>8.05015674</v>
      </c>
      <c r="K183" s="60"/>
    </row>
    <row r="184">
      <c r="A184" s="20">
        <v>10000.0</v>
      </c>
      <c r="B184" s="20">
        <v>512.0</v>
      </c>
      <c r="C184" s="20">
        <v>32.0</v>
      </c>
      <c r="D184" s="20">
        <v>1.799112147E9</v>
      </c>
      <c r="E184" s="20">
        <v>807231.0</v>
      </c>
      <c r="F184" s="20">
        <v>19557.0</v>
      </c>
      <c r="G184" s="20">
        <v>19557.0</v>
      </c>
      <c r="H184" s="20">
        <v>46637.0</v>
      </c>
      <c r="I184" s="20">
        <v>347.0</v>
      </c>
      <c r="J184" s="59">
        <f t="shared" si="4"/>
        <v>7.363112392</v>
      </c>
      <c r="K184" s="60"/>
    </row>
    <row r="185">
      <c r="A185" s="20">
        <v>10000.0</v>
      </c>
      <c r="B185" s="20">
        <v>512.0</v>
      </c>
      <c r="C185" s="20">
        <v>64.0</v>
      </c>
      <c r="D185" s="20">
        <v>1.798993391E9</v>
      </c>
      <c r="E185" s="20">
        <v>835598.0</v>
      </c>
      <c r="F185" s="20">
        <v>16318.0</v>
      </c>
      <c r="G185" s="20">
        <v>16318.0</v>
      </c>
      <c r="H185" s="20">
        <v>46245.0</v>
      </c>
      <c r="I185" s="20">
        <v>409.0</v>
      </c>
      <c r="J185" s="59">
        <f t="shared" si="4"/>
        <v>6.217603912</v>
      </c>
      <c r="K185" s="60"/>
      <c r="W185" s="23" t="s">
        <v>142</v>
      </c>
      <c r="X185" s="23" t="s">
        <v>143</v>
      </c>
    </row>
    <row r="186">
      <c r="A186" s="20">
        <v>32128.0</v>
      </c>
      <c r="B186" s="20">
        <v>512.0</v>
      </c>
      <c r="C186" s="20">
        <v>16.0</v>
      </c>
      <c r="D186" s="20">
        <v>5.770642709E9</v>
      </c>
      <c r="E186" s="20">
        <v>2481857.0</v>
      </c>
      <c r="F186" s="20">
        <v>39616.0</v>
      </c>
      <c r="G186" s="20">
        <v>39616.0</v>
      </c>
      <c r="H186" s="20">
        <v>46176.0</v>
      </c>
      <c r="I186" s="20">
        <v>475.0</v>
      </c>
      <c r="J186" s="59">
        <f t="shared" si="4"/>
        <v>5.842105263</v>
      </c>
      <c r="K186" s="60"/>
    </row>
    <row r="187">
      <c r="A187" s="20">
        <v>32128.0</v>
      </c>
      <c r="B187" s="20">
        <v>512.0</v>
      </c>
      <c r="C187" s="20">
        <v>32.0</v>
      </c>
      <c r="D187" s="20">
        <v>5.767796495E9</v>
      </c>
      <c r="E187" s="20">
        <v>2690161.0</v>
      </c>
      <c r="F187" s="20">
        <v>49395.0</v>
      </c>
      <c r="G187" s="20">
        <v>49395.0</v>
      </c>
      <c r="H187" s="20">
        <v>46188.0</v>
      </c>
      <c r="I187" s="20">
        <v>684.0</v>
      </c>
      <c r="J187" s="59">
        <f t="shared" si="4"/>
        <v>3.871345029</v>
      </c>
      <c r="K187" s="60"/>
      <c r="M187" s="65" t="s">
        <v>107</v>
      </c>
      <c r="N187" s="65" t="s">
        <v>99</v>
      </c>
      <c r="O187" s="66" t="s">
        <v>130</v>
      </c>
    </row>
    <row r="188">
      <c r="A188" s="20">
        <v>32128.0</v>
      </c>
      <c r="B188" s="20">
        <v>512.0</v>
      </c>
      <c r="C188" s="20">
        <v>64.0</v>
      </c>
      <c r="D188" s="20">
        <v>5.766004617E9</v>
      </c>
      <c r="E188" s="20">
        <v>2468962.0</v>
      </c>
      <c r="F188" s="20">
        <v>47152.0</v>
      </c>
      <c r="G188" s="20">
        <v>47152.0</v>
      </c>
      <c r="H188" s="20">
        <v>46160.0</v>
      </c>
      <c r="I188" s="20">
        <v>472.0</v>
      </c>
      <c r="J188" s="59">
        <f t="shared" si="4"/>
        <v>5.921610169</v>
      </c>
      <c r="K188" s="60"/>
      <c r="M188" s="67">
        <v>10000.0</v>
      </c>
      <c r="N188" s="67">
        <v>128.0</v>
      </c>
      <c r="O188" s="68">
        <v>3.480769230769231</v>
      </c>
      <c r="P188" s="29" t="str">
        <f t="shared" ref="P188:P199" si="5">M188 &amp; "," &amp;N188</f>
        <v>10000,128</v>
      </c>
      <c r="Q188" s="67">
        <v>10000.0</v>
      </c>
      <c r="R188" s="67">
        <v>128.0</v>
      </c>
      <c r="S188" s="67">
        <v>32.0</v>
      </c>
      <c r="T188" s="67">
        <v>1.394</v>
      </c>
      <c r="U188" s="29">
        <v>10000.0</v>
      </c>
      <c r="V188" s="29">
        <v>128.0</v>
      </c>
      <c r="W188" s="29">
        <v>32.0</v>
      </c>
      <c r="X188" s="29">
        <v>12.284615384615385</v>
      </c>
    </row>
    <row r="189">
      <c r="A189" s="20">
        <v>50000.0</v>
      </c>
      <c r="B189" s="20">
        <v>512.0</v>
      </c>
      <c r="C189" s="20">
        <v>16.0</v>
      </c>
      <c r="D189" s="20">
        <v>8.986969705E9</v>
      </c>
      <c r="E189" s="20">
        <v>3833781.0</v>
      </c>
      <c r="F189" s="20">
        <v>53269.0</v>
      </c>
      <c r="G189" s="20">
        <v>53269.0</v>
      </c>
      <c r="H189" s="20">
        <v>46155.0</v>
      </c>
      <c r="I189" s="20">
        <v>371.0</v>
      </c>
      <c r="J189" s="59">
        <f t="shared" si="4"/>
        <v>7.590296496</v>
      </c>
      <c r="K189" s="60"/>
      <c r="M189" s="67">
        <v>32128.0</v>
      </c>
      <c r="N189" s="67">
        <v>128.0</v>
      </c>
      <c r="O189" s="68">
        <v>2.0798722044728435</v>
      </c>
      <c r="P189" s="29" t="str">
        <f t="shared" si="5"/>
        <v>32128,128</v>
      </c>
      <c r="Q189" s="67">
        <v>32128.0</v>
      </c>
      <c r="R189" s="67">
        <v>128.0</v>
      </c>
      <c r="S189" s="67">
        <v>32.0</v>
      </c>
      <c r="T189" s="67">
        <v>1.66</v>
      </c>
      <c r="U189" s="29">
        <v>32128.0</v>
      </c>
      <c r="V189" s="29">
        <v>128.0</v>
      </c>
      <c r="W189" s="29">
        <v>32.0</v>
      </c>
      <c r="X189" s="29">
        <v>9.337078651685394</v>
      </c>
    </row>
    <row r="190">
      <c r="A190" s="20">
        <v>50000.0</v>
      </c>
      <c r="B190" s="20">
        <v>512.0</v>
      </c>
      <c r="C190" s="20">
        <v>32.0</v>
      </c>
      <c r="D190" s="20">
        <v>8.988113687E9</v>
      </c>
      <c r="E190" s="20">
        <v>3914786.0</v>
      </c>
      <c r="F190" s="20">
        <v>56546.0</v>
      </c>
      <c r="G190" s="20">
        <v>56546.0</v>
      </c>
      <c r="H190" s="20">
        <v>46193.0</v>
      </c>
      <c r="I190" s="20">
        <v>613.0</v>
      </c>
      <c r="J190" s="59">
        <f t="shared" si="4"/>
        <v>5.256117455</v>
      </c>
      <c r="K190" s="60"/>
      <c r="M190" s="67">
        <v>50000.0</v>
      </c>
      <c r="N190" s="67">
        <v>128.0</v>
      </c>
      <c r="O190" s="68">
        <v>2.8368200836820083</v>
      </c>
      <c r="P190" s="29" t="str">
        <f t="shared" si="5"/>
        <v>50000,128</v>
      </c>
      <c r="Q190" s="67">
        <v>50000.0</v>
      </c>
      <c r="R190" s="67">
        <v>128.0</v>
      </c>
      <c r="S190" s="67">
        <v>32.0</v>
      </c>
      <c r="T190" s="67">
        <v>1.599</v>
      </c>
      <c r="U190" s="29">
        <v>50000.0</v>
      </c>
      <c r="V190" s="29">
        <v>128.0</v>
      </c>
      <c r="W190" s="29">
        <v>32.0</v>
      </c>
      <c r="X190" s="29">
        <v>13.169230769230769</v>
      </c>
    </row>
    <row r="191">
      <c r="A191" s="20">
        <v>50000.0</v>
      </c>
      <c r="B191" s="20">
        <v>512.0</v>
      </c>
      <c r="C191" s="20">
        <v>64.0</v>
      </c>
      <c r="D191" s="20">
        <v>8.970865785E9</v>
      </c>
      <c r="E191" s="20">
        <v>3959454.0</v>
      </c>
      <c r="F191" s="20">
        <v>54580.0</v>
      </c>
      <c r="G191" s="20">
        <v>54580.0</v>
      </c>
      <c r="H191" s="20">
        <v>46154.0</v>
      </c>
      <c r="I191" s="20">
        <v>503.0</v>
      </c>
      <c r="J191" s="59">
        <f t="shared" si="4"/>
        <v>6.161033797</v>
      </c>
      <c r="K191" s="60"/>
      <c r="M191" s="67">
        <v>100000.0</v>
      </c>
      <c r="N191" s="67">
        <v>128.0</v>
      </c>
      <c r="O191" s="68">
        <v>3.0632911392405062</v>
      </c>
      <c r="P191" s="29" t="str">
        <f t="shared" si="5"/>
        <v>100000,128</v>
      </c>
      <c r="Q191" s="67">
        <v>100000.0</v>
      </c>
      <c r="R191" s="67">
        <v>128.0</v>
      </c>
      <c r="S191" s="67">
        <v>32.0</v>
      </c>
      <c r="T191" s="67">
        <v>1.654</v>
      </c>
      <c r="U191" s="29">
        <v>100000.0</v>
      </c>
      <c r="V191" s="29">
        <v>128.0</v>
      </c>
      <c r="W191" s="29">
        <v>32.0</v>
      </c>
      <c r="X191" s="29">
        <v>13.373737373737374</v>
      </c>
    </row>
    <row r="192">
      <c r="A192" s="20">
        <v>100000.0</v>
      </c>
      <c r="B192" s="20">
        <v>512.0</v>
      </c>
      <c r="C192" s="20">
        <v>16.0</v>
      </c>
      <c r="D192" s="20">
        <v>1.7943606055E10</v>
      </c>
      <c r="E192" s="20">
        <v>7698034.0</v>
      </c>
      <c r="F192" s="20">
        <v>70818.0</v>
      </c>
      <c r="G192" s="20">
        <v>70818.0</v>
      </c>
      <c r="H192" s="20">
        <v>46174.0</v>
      </c>
      <c r="I192" s="20">
        <v>381.0</v>
      </c>
      <c r="J192" s="59">
        <f t="shared" si="4"/>
        <v>8.215223097</v>
      </c>
      <c r="K192" s="60"/>
      <c r="M192" s="67">
        <v>10000.0</v>
      </c>
      <c r="N192" s="67">
        <v>256.0</v>
      </c>
      <c r="O192" s="68">
        <v>3.5072463768115942</v>
      </c>
      <c r="P192" s="29" t="str">
        <f t="shared" si="5"/>
        <v>10000,256</v>
      </c>
      <c r="Q192" s="67">
        <v>10000.0</v>
      </c>
      <c r="R192" s="67">
        <v>256.0</v>
      </c>
      <c r="S192" s="67">
        <v>32.0</v>
      </c>
      <c r="T192" s="67">
        <v>1.677</v>
      </c>
      <c r="U192" s="29">
        <v>10000.0</v>
      </c>
      <c r="V192" s="29">
        <v>256.0</v>
      </c>
      <c r="W192" s="29">
        <v>32.0</v>
      </c>
      <c r="X192" s="29">
        <v>3.5853018372703414</v>
      </c>
    </row>
    <row r="193">
      <c r="A193" s="20">
        <v>100000.0</v>
      </c>
      <c r="B193" s="20">
        <v>512.0</v>
      </c>
      <c r="C193" s="20">
        <v>32.0</v>
      </c>
      <c r="D193" s="20">
        <v>1.7968798984E10</v>
      </c>
      <c r="E193" s="20">
        <v>7232252.0</v>
      </c>
      <c r="F193" s="20">
        <v>58947.0</v>
      </c>
      <c r="G193" s="20">
        <v>58947.0</v>
      </c>
      <c r="H193" s="20">
        <v>46152.0</v>
      </c>
      <c r="I193" s="20">
        <v>425.0</v>
      </c>
      <c r="J193" s="59">
        <f t="shared" si="4"/>
        <v>8.148235294</v>
      </c>
      <c r="K193" s="60"/>
      <c r="M193" s="67">
        <v>32128.0</v>
      </c>
      <c r="N193" s="67">
        <v>256.0</v>
      </c>
      <c r="O193" s="68">
        <v>3.6503856041131106</v>
      </c>
      <c r="P193" s="29" t="str">
        <f t="shared" si="5"/>
        <v>32128,256</v>
      </c>
      <c r="Q193" s="67">
        <v>32128.0</v>
      </c>
      <c r="R193" s="67">
        <v>256.0</v>
      </c>
      <c r="S193" s="67">
        <v>32.0</v>
      </c>
      <c r="T193" s="67">
        <v>1.781</v>
      </c>
      <c r="U193" s="29">
        <v>32128.0</v>
      </c>
      <c r="V193" s="29">
        <v>256.0</v>
      </c>
      <c r="W193" s="29">
        <v>32.0</v>
      </c>
      <c r="X193" s="29">
        <v>5.9801324503311255</v>
      </c>
    </row>
    <row r="194">
      <c r="A194" s="20">
        <v>100000.0</v>
      </c>
      <c r="B194" s="20">
        <v>512.0</v>
      </c>
      <c r="C194" s="20">
        <v>64.0</v>
      </c>
      <c r="D194" s="20">
        <v>1.796897552E10</v>
      </c>
      <c r="E194" s="20">
        <v>7329967.0</v>
      </c>
      <c r="F194" s="20">
        <v>66968.0</v>
      </c>
      <c r="G194" s="20">
        <v>66968.0</v>
      </c>
      <c r="H194" s="20">
        <v>46145.0</v>
      </c>
      <c r="I194" s="20">
        <v>375.0</v>
      </c>
      <c r="J194" s="59">
        <f t="shared" si="4"/>
        <v>8.186666667</v>
      </c>
      <c r="K194" s="60"/>
      <c r="M194" s="67">
        <v>50000.0</v>
      </c>
      <c r="N194" s="67">
        <v>256.0</v>
      </c>
      <c r="O194" s="68">
        <v>2.413612565445026</v>
      </c>
      <c r="P194" s="29" t="str">
        <f t="shared" si="5"/>
        <v>50000,256</v>
      </c>
      <c r="Q194" s="67">
        <v>50000.0</v>
      </c>
      <c r="R194" s="67">
        <v>256.0</v>
      </c>
      <c r="S194" s="67">
        <v>32.0</v>
      </c>
      <c r="T194" s="67">
        <v>1.824</v>
      </c>
      <c r="U194" s="29">
        <v>50000.0</v>
      </c>
      <c r="V194" s="29">
        <v>256.0</v>
      </c>
      <c r="W194" s="29">
        <v>32.0</v>
      </c>
      <c r="X194" s="29">
        <v>9.02826855123675</v>
      </c>
    </row>
    <row r="195">
      <c r="A195" s="20">
        <v>10000.0</v>
      </c>
      <c r="B195" s="20">
        <v>768.0</v>
      </c>
      <c r="C195" s="20">
        <v>16.0</v>
      </c>
      <c r="D195" s="20">
        <v>2.69801691E9</v>
      </c>
      <c r="E195" s="20">
        <v>1195043.0</v>
      </c>
      <c r="F195" s="20">
        <v>31289.0</v>
      </c>
      <c r="G195" s="20">
        <v>31289.0</v>
      </c>
      <c r="H195" s="20">
        <v>69222.0</v>
      </c>
      <c r="I195" s="20">
        <v>471.0</v>
      </c>
      <c r="J195" s="59">
        <f t="shared" si="4"/>
        <v>8.501061571</v>
      </c>
      <c r="K195" s="60"/>
      <c r="M195" s="67">
        <v>100000.0</v>
      </c>
      <c r="N195" s="67">
        <v>256.0</v>
      </c>
      <c r="O195" s="68">
        <v>3.5426008968609866</v>
      </c>
      <c r="P195" s="29" t="str">
        <f t="shared" si="5"/>
        <v>100000,256</v>
      </c>
      <c r="Q195" s="67">
        <v>100000.0</v>
      </c>
      <c r="R195" s="67">
        <v>256.0</v>
      </c>
      <c r="S195" s="67">
        <v>32.0</v>
      </c>
      <c r="T195" s="67">
        <v>1.622</v>
      </c>
      <c r="U195" s="29">
        <v>100000.0</v>
      </c>
      <c r="V195" s="29">
        <v>256.0</v>
      </c>
      <c r="W195" s="29">
        <v>32.0</v>
      </c>
      <c r="X195" s="29">
        <v>7.720994475138122</v>
      </c>
    </row>
    <row r="196">
      <c r="A196" s="20">
        <v>10000.0</v>
      </c>
      <c r="B196" s="20">
        <v>768.0</v>
      </c>
      <c r="C196" s="20">
        <v>32.0</v>
      </c>
      <c r="D196" s="20">
        <v>2.699269581E9</v>
      </c>
      <c r="E196" s="20">
        <v>1189679.0</v>
      </c>
      <c r="F196" s="20">
        <v>24809.0</v>
      </c>
      <c r="G196" s="20">
        <v>24809.0</v>
      </c>
      <c r="H196" s="20">
        <v>69205.0</v>
      </c>
      <c r="I196" s="20">
        <v>551.0</v>
      </c>
      <c r="J196" s="59">
        <f t="shared" si="4"/>
        <v>8.511796733</v>
      </c>
      <c r="K196" s="60"/>
      <c r="M196" s="67">
        <v>10000.0</v>
      </c>
      <c r="N196" s="67">
        <v>512.0</v>
      </c>
      <c r="O196" s="68">
        <v>3.736613603473227</v>
      </c>
      <c r="P196" s="29" t="str">
        <f t="shared" si="5"/>
        <v>10000,512</v>
      </c>
      <c r="Q196" s="67">
        <v>10000.0</v>
      </c>
      <c r="R196" s="67">
        <v>512.0</v>
      </c>
      <c r="S196" s="67">
        <v>32.0</v>
      </c>
      <c r="T196" s="67">
        <v>1.819</v>
      </c>
      <c r="U196" s="29">
        <v>10000.0</v>
      </c>
      <c r="V196" s="29">
        <v>512.0</v>
      </c>
      <c r="W196" s="29">
        <v>32.0</v>
      </c>
      <c r="X196" s="29">
        <v>4.130813953488372</v>
      </c>
    </row>
    <row r="197">
      <c r="A197" s="20">
        <v>10000.0</v>
      </c>
      <c r="B197" s="20">
        <v>768.0</v>
      </c>
      <c r="C197" s="20">
        <v>64.0</v>
      </c>
      <c r="D197" s="20">
        <v>2.700647168E9</v>
      </c>
      <c r="E197" s="20">
        <v>1274777.0</v>
      </c>
      <c r="F197" s="20">
        <v>28155.0</v>
      </c>
      <c r="G197" s="20">
        <v>28155.0</v>
      </c>
      <c r="H197" s="20">
        <v>69232.0</v>
      </c>
      <c r="I197" s="20">
        <v>578.0</v>
      </c>
      <c r="J197" s="59">
        <f t="shared" si="4"/>
        <v>7.570934256</v>
      </c>
      <c r="K197" s="60"/>
      <c r="M197" s="67">
        <v>32128.0</v>
      </c>
      <c r="N197" s="67">
        <v>512.0</v>
      </c>
      <c r="O197" s="68">
        <v>4.299346405228758</v>
      </c>
      <c r="P197" s="29" t="str">
        <f t="shared" si="5"/>
        <v>32128,512</v>
      </c>
      <c r="Q197" s="67">
        <v>32128.0</v>
      </c>
      <c r="R197" s="67">
        <v>512.0</v>
      </c>
      <c r="S197" s="67">
        <v>32.0</v>
      </c>
      <c r="T197" s="67">
        <v>1.996</v>
      </c>
      <c r="U197" s="29">
        <v>32128.0</v>
      </c>
      <c r="V197" s="29">
        <v>512.0</v>
      </c>
      <c r="W197" s="29">
        <v>32.0</v>
      </c>
      <c r="X197" s="29">
        <v>3.307101727447217</v>
      </c>
    </row>
    <row r="198">
      <c r="A198" s="20">
        <v>32128.0</v>
      </c>
      <c r="B198" s="20">
        <v>768.0</v>
      </c>
      <c r="C198" s="20">
        <v>16.0</v>
      </c>
      <c r="D198" s="20">
        <v>8.665737529E9</v>
      </c>
      <c r="E198" s="20">
        <v>3911327.0</v>
      </c>
      <c r="F198" s="20">
        <v>48631.0</v>
      </c>
      <c r="G198" s="20">
        <v>48631.0</v>
      </c>
      <c r="H198" s="20">
        <v>69200.0</v>
      </c>
      <c r="I198" s="20">
        <v>521.0</v>
      </c>
      <c r="J198" s="59">
        <f t="shared" si="4"/>
        <v>8.522072937</v>
      </c>
      <c r="K198" s="60"/>
      <c r="M198" s="67">
        <v>50000.0</v>
      </c>
      <c r="N198" s="67">
        <v>512.0</v>
      </c>
      <c r="O198" s="68">
        <v>3.0935672514619883</v>
      </c>
      <c r="P198" s="29" t="str">
        <f t="shared" si="5"/>
        <v>50000,512</v>
      </c>
      <c r="Q198" s="67">
        <v>50000.0</v>
      </c>
      <c r="R198" s="67">
        <v>512.0</v>
      </c>
      <c r="S198" s="67">
        <v>32.0</v>
      </c>
      <c r="T198" s="67">
        <v>1.818</v>
      </c>
      <c r="U198" s="29">
        <v>50000.0</v>
      </c>
      <c r="V198" s="29">
        <v>512.0</v>
      </c>
      <c r="W198" s="29">
        <v>32.0</v>
      </c>
      <c r="X198" s="29">
        <v>5.243298969072165</v>
      </c>
    </row>
    <row r="199">
      <c r="A199" s="20">
        <v>32128.0</v>
      </c>
      <c r="B199" s="20">
        <v>768.0</v>
      </c>
      <c r="C199" s="20">
        <v>32.0</v>
      </c>
      <c r="D199" s="20">
        <v>8.663776245E9</v>
      </c>
      <c r="E199" s="20">
        <v>3636706.0</v>
      </c>
      <c r="F199" s="20">
        <v>42250.0</v>
      </c>
      <c r="G199" s="20">
        <v>42250.0</v>
      </c>
      <c r="H199" s="20">
        <v>69283.0</v>
      </c>
      <c r="I199" s="20">
        <v>529.0</v>
      </c>
      <c r="J199" s="59">
        <f t="shared" si="4"/>
        <v>8.438563327</v>
      </c>
      <c r="K199" s="60"/>
      <c r="M199" s="67">
        <v>100000.0</v>
      </c>
      <c r="N199" s="67">
        <v>512.0</v>
      </c>
      <c r="O199" s="68">
        <v>4.116531165311653</v>
      </c>
      <c r="P199" s="29" t="str">
        <f t="shared" si="5"/>
        <v>100000,512</v>
      </c>
      <c r="Q199" s="67">
        <v>100000.0</v>
      </c>
      <c r="R199" s="67">
        <v>512.0</v>
      </c>
      <c r="S199" s="67">
        <v>32.0</v>
      </c>
      <c r="T199" s="67">
        <v>1.919</v>
      </c>
      <c r="U199" s="29">
        <v>100000.0</v>
      </c>
      <c r="V199" s="29">
        <v>512.0</v>
      </c>
      <c r="W199" s="29">
        <v>32.0</v>
      </c>
      <c r="X199" s="29">
        <v>6.6415094339622645</v>
      </c>
    </row>
    <row r="200">
      <c r="A200" s="20">
        <v>32128.0</v>
      </c>
      <c r="B200" s="20">
        <v>768.0</v>
      </c>
      <c r="C200" s="20">
        <v>64.0</v>
      </c>
      <c r="D200" s="20">
        <v>8.668737728E9</v>
      </c>
      <c r="E200" s="20">
        <v>4313615.0</v>
      </c>
      <c r="F200" s="20">
        <v>50284.0</v>
      </c>
      <c r="G200" s="20">
        <v>50284.0</v>
      </c>
      <c r="H200" s="20">
        <v>69219.0</v>
      </c>
      <c r="I200" s="20">
        <v>504.0</v>
      </c>
      <c r="J200" s="59">
        <f t="shared" si="4"/>
        <v>10.48611111</v>
      </c>
      <c r="K200" s="60"/>
      <c r="M200" s="67"/>
      <c r="N200" s="67"/>
      <c r="O200" s="68"/>
      <c r="Q200" s="67"/>
      <c r="R200" s="67"/>
      <c r="S200" s="67"/>
      <c r="T200" s="67"/>
      <c r="U200" s="29">
        <v>10000.0</v>
      </c>
      <c r="V200" s="29">
        <v>768.0</v>
      </c>
      <c r="W200" s="29">
        <v>32.0</v>
      </c>
      <c r="X200" s="29">
        <v>3.412008281573499</v>
      </c>
    </row>
    <row r="201">
      <c r="A201" s="20">
        <v>50000.0</v>
      </c>
      <c r="B201" s="20">
        <v>768.0</v>
      </c>
      <c r="C201" s="20">
        <v>16.0</v>
      </c>
      <c r="D201" s="20">
        <v>1.3488197154E10</v>
      </c>
      <c r="E201" s="20">
        <v>5563677.0</v>
      </c>
      <c r="F201" s="20">
        <v>50575.0</v>
      </c>
      <c r="G201" s="20">
        <v>50575.0</v>
      </c>
      <c r="H201" s="20">
        <v>69224.0</v>
      </c>
      <c r="I201" s="20">
        <v>526.0</v>
      </c>
      <c r="J201" s="59">
        <f t="shared" si="4"/>
        <v>8.846007605</v>
      </c>
      <c r="K201" s="60"/>
      <c r="M201" s="67"/>
      <c r="N201" s="67"/>
      <c r="O201" s="68"/>
      <c r="Q201" s="67"/>
      <c r="R201" s="67"/>
      <c r="S201" s="67"/>
      <c r="T201" s="67"/>
      <c r="U201" s="29">
        <v>32128.0</v>
      </c>
      <c r="V201" s="29">
        <v>768.0</v>
      </c>
      <c r="W201" s="29">
        <v>32.0</v>
      </c>
      <c r="X201" s="29">
        <v>3.0786948176583495</v>
      </c>
    </row>
    <row r="202">
      <c r="A202" s="20">
        <v>50000.0</v>
      </c>
      <c r="B202" s="20">
        <v>768.0</v>
      </c>
      <c r="C202" s="20">
        <v>32.0</v>
      </c>
      <c r="D202" s="20">
        <v>1.3482527676E10</v>
      </c>
      <c r="E202" s="20">
        <v>5582784.0</v>
      </c>
      <c r="F202" s="20">
        <v>56670.0</v>
      </c>
      <c r="G202" s="20">
        <v>56670.0</v>
      </c>
      <c r="H202" s="20">
        <v>69225.0</v>
      </c>
      <c r="I202" s="20">
        <v>624.0</v>
      </c>
      <c r="J202" s="59">
        <f t="shared" si="4"/>
        <v>7.253205128</v>
      </c>
      <c r="K202" s="60"/>
      <c r="M202" s="67">
        <v>10000.0</v>
      </c>
      <c r="N202" s="67">
        <v>768.0</v>
      </c>
      <c r="O202" s="68">
        <v>3.8836978131212723</v>
      </c>
      <c r="P202" s="29" t="str">
        <f t="shared" ref="P202:P207" si="6">M202 &amp; "," &amp;N202</f>
        <v>10000,768</v>
      </c>
      <c r="U202" s="29">
        <v>50000.0</v>
      </c>
      <c r="V202" s="29">
        <v>768.0</v>
      </c>
      <c r="W202" s="29">
        <v>32.0</v>
      </c>
      <c r="X202" s="29">
        <v>5.245746691871456</v>
      </c>
    </row>
    <row r="203">
      <c r="A203" s="20">
        <v>50000.0</v>
      </c>
      <c r="B203" s="20">
        <v>768.0</v>
      </c>
      <c r="C203" s="20">
        <v>64.0</v>
      </c>
      <c r="D203" s="20">
        <v>1.3483767766E10</v>
      </c>
      <c r="E203" s="20">
        <v>5590023.0</v>
      </c>
      <c r="F203" s="20">
        <v>52202.0</v>
      </c>
      <c r="G203" s="20">
        <v>52202.0</v>
      </c>
      <c r="H203" s="20">
        <v>69232.0</v>
      </c>
      <c r="I203" s="20">
        <v>528.0</v>
      </c>
      <c r="J203" s="59">
        <f t="shared" si="4"/>
        <v>8.589015152</v>
      </c>
      <c r="K203" s="60"/>
      <c r="M203" s="67">
        <v>32128.0</v>
      </c>
      <c r="N203" s="67">
        <v>768.0</v>
      </c>
      <c r="O203" s="68">
        <v>3.258191349934469</v>
      </c>
      <c r="P203" s="29" t="str">
        <f t="shared" si="6"/>
        <v>32128,768</v>
      </c>
      <c r="U203" s="29">
        <v>100000.0</v>
      </c>
      <c r="V203" s="29">
        <v>768.0</v>
      </c>
      <c r="W203" s="29">
        <v>32.0</v>
      </c>
      <c r="X203" s="29">
        <v>4.7105263157894735</v>
      </c>
    </row>
    <row r="204">
      <c r="A204" s="20">
        <v>100000.0</v>
      </c>
      <c r="B204" s="20">
        <v>768.0</v>
      </c>
      <c r="C204" s="20">
        <v>16.0</v>
      </c>
      <c r="D204" s="20">
        <v>2.694465527E10</v>
      </c>
      <c r="E204" s="20">
        <v>1.087655E7</v>
      </c>
      <c r="F204" s="20">
        <v>91511.0</v>
      </c>
      <c r="G204" s="20">
        <v>91511.0</v>
      </c>
      <c r="H204" s="20">
        <v>69241.0</v>
      </c>
      <c r="I204" s="20">
        <v>587.0</v>
      </c>
      <c r="J204" s="59">
        <f t="shared" si="4"/>
        <v>6.882453152</v>
      </c>
      <c r="K204" s="60"/>
      <c r="M204" s="67">
        <v>50000.0</v>
      </c>
      <c r="N204" s="67">
        <v>768.0</v>
      </c>
      <c r="O204" s="68">
        <v>4.405575539568345</v>
      </c>
      <c r="P204" s="29" t="str">
        <f t="shared" si="6"/>
        <v>50000,768</v>
      </c>
    </row>
    <row r="205">
      <c r="A205" s="20">
        <v>100000.0</v>
      </c>
      <c r="B205" s="20">
        <v>768.0</v>
      </c>
      <c r="C205" s="20">
        <v>32.0</v>
      </c>
      <c r="D205" s="20">
        <v>2.6941872603E10</v>
      </c>
      <c r="E205" s="20">
        <v>1.0816616E7</v>
      </c>
      <c r="F205" s="20">
        <v>84300.0</v>
      </c>
      <c r="G205" s="20">
        <v>84300.0</v>
      </c>
      <c r="H205" s="20">
        <v>70048.0</v>
      </c>
      <c r="I205" s="20">
        <v>769.0</v>
      </c>
      <c r="J205" s="59">
        <f t="shared" si="4"/>
        <v>5.263979194</v>
      </c>
      <c r="K205" s="60"/>
      <c r="M205" s="67">
        <v>100000.0</v>
      </c>
      <c r="N205" s="67">
        <v>768.0</v>
      </c>
      <c r="O205" s="68">
        <v>4.212431156569631</v>
      </c>
      <c r="P205" s="29" t="str">
        <f t="shared" si="6"/>
        <v>100000,768</v>
      </c>
    </row>
    <row r="206">
      <c r="A206" s="20">
        <v>100000.0</v>
      </c>
      <c r="B206" s="20">
        <v>768.0</v>
      </c>
      <c r="C206" s="20">
        <v>64.0</v>
      </c>
      <c r="D206" s="20">
        <v>2.6932705606E10</v>
      </c>
      <c r="E206" s="20">
        <v>1.0806215E7</v>
      </c>
      <c r="F206" s="20">
        <v>82509.0</v>
      </c>
      <c r="G206" s="20">
        <v>82509.0</v>
      </c>
      <c r="H206" s="20">
        <v>69201.0</v>
      </c>
      <c r="I206" s="20">
        <v>493.0</v>
      </c>
      <c r="J206" s="59">
        <f t="shared" si="4"/>
        <v>8.259634888</v>
      </c>
      <c r="K206" s="60"/>
      <c r="M206" s="67">
        <v>300000.0</v>
      </c>
      <c r="N206" s="67">
        <v>768.0</v>
      </c>
      <c r="O206" s="68">
        <v>3.3551912568306013</v>
      </c>
      <c r="P206" s="29" t="str">
        <f t="shared" si="6"/>
        <v>300000,768</v>
      </c>
    </row>
    <row r="207">
      <c r="A207" s="69"/>
      <c r="B207" s="69"/>
      <c r="C207" s="69"/>
      <c r="D207" s="69"/>
      <c r="E207" s="69"/>
      <c r="F207" s="69"/>
      <c r="G207" s="69"/>
      <c r="H207" s="69"/>
      <c r="I207" s="69"/>
      <c r="J207" s="70"/>
      <c r="K207" s="71"/>
      <c r="M207" s="67">
        <v>500000.0</v>
      </c>
      <c r="N207" s="67">
        <v>768.0</v>
      </c>
      <c r="O207" s="68">
        <v>4.776106194690265</v>
      </c>
      <c r="P207" s="29" t="str">
        <f t="shared" si="6"/>
        <v>500000,768</v>
      </c>
      <c r="T207" s="29">
        <v>10000.0</v>
      </c>
      <c r="U207" s="29">
        <v>128.0</v>
      </c>
      <c r="V207" s="29">
        <v>64.0</v>
      </c>
      <c r="W207" s="29">
        <v>23.30075187969925</v>
      </c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T208" s="29">
        <v>32128.0</v>
      </c>
      <c r="U208" s="29">
        <v>128.0</v>
      </c>
      <c r="V208" s="29">
        <v>64.0</v>
      </c>
      <c r="W208" s="29">
        <v>16.61410788381743</v>
      </c>
    </row>
    <row r="209">
      <c r="A209" s="56"/>
      <c r="B209" s="56"/>
      <c r="C209" s="56"/>
      <c r="D209" s="56"/>
      <c r="E209" s="56"/>
      <c r="F209" s="56"/>
      <c r="G209" s="56"/>
      <c r="H209" s="56"/>
      <c r="I209" s="56"/>
      <c r="T209" s="29">
        <v>50000.0</v>
      </c>
      <c r="U209" s="29">
        <v>128.0</v>
      </c>
      <c r="V209" s="29">
        <v>64.0</v>
      </c>
      <c r="W209" s="29">
        <v>16.0</v>
      </c>
    </row>
    <row r="210">
      <c r="A210" s="20" t="s">
        <v>125</v>
      </c>
      <c r="B210" s="20">
        <v>256.0</v>
      </c>
      <c r="C210" s="20" t="s">
        <v>93</v>
      </c>
      <c r="D210" s="20" t="s">
        <v>115</v>
      </c>
      <c r="E210" s="20" t="s">
        <v>118</v>
      </c>
      <c r="F210" s="20"/>
      <c r="G210" s="20"/>
      <c r="H210" s="20"/>
      <c r="I210" s="20"/>
      <c r="T210" s="29">
        <v>100000.0</v>
      </c>
      <c r="U210" s="29">
        <v>128.0</v>
      </c>
      <c r="V210" s="29">
        <v>64.0</v>
      </c>
      <c r="W210" s="29">
        <v>21.391509433962263</v>
      </c>
    </row>
    <row r="211">
      <c r="A211" s="20" t="s">
        <v>107</v>
      </c>
      <c r="B211" s="20" t="s">
        <v>99</v>
      </c>
      <c r="C211" s="20" t="s">
        <v>100</v>
      </c>
      <c r="D211" s="20" t="s">
        <v>109</v>
      </c>
      <c r="E211" s="20" t="s">
        <v>110</v>
      </c>
      <c r="F211" s="20" t="s">
        <v>111</v>
      </c>
      <c r="G211" s="20" t="s">
        <v>112</v>
      </c>
      <c r="H211" s="20" t="s">
        <v>113</v>
      </c>
      <c r="I211" s="20" t="s">
        <v>101</v>
      </c>
      <c r="J211" s="23" t="s">
        <v>144</v>
      </c>
      <c r="T211" s="29">
        <v>10000.0</v>
      </c>
      <c r="U211" s="29">
        <v>256.0</v>
      </c>
      <c r="V211" s="29">
        <v>64.0</v>
      </c>
      <c r="W211" s="29">
        <v>15.808080808080808</v>
      </c>
    </row>
    <row r="212">
      <c r="A212" s="20">
        <v>10000.0</v>
      </c>
      <c r="B212" s="20">
        <v>128.0</v>
      </c>
      <c r="C212" s="20">
        <v>16.0</v>
      </c>
      <c r="D212" s="20">
        <v>4.53119657E8</v>
      </c>
      <c r="E212" s="20">
        <v>226011.0</v>
      </c>
      <c r="F212" s="20">
        <v>17700.0</v>
      </c>
      <c r="G212" s="20">
        <v>17700.0</v>
      </c>
      <c r="H212" s="20">
        <v>23063.0</v>
      </c>
      <c r="I212" s="20">
        <v>260.0</v>
      </c>
      <c r="J212" s="29">
        <f t="shared" ref="J212:J259" si="7">I2/I212</f>
        <v>1.519230769</v>
      </c>
      <c r="T212" s="29">
        <v>32128.0</v>
      </c>
      <c r="U212" s="29">
        <v>256.0</v>
      </c>
      <c r="V212" s="29">
        <v>64.0</v>
      </c>
      <c r="W212" s="29">
        <v>10.064377682403434</v>
      </c>
    </row>
    <row r="213">
      <c r="A213" s="20">
        <v>10000.0</v>
      </c>
      <c r="B213" s="20">
        <v>128.0</v>
      </c>
      <c r="C213" s="20">
        <v>32.0</v>
      </c>
      <c r="D213" s="20">
        <v>4.53121664E8</v>
      </c>
      <c r="E213" s="20">
        <v>226906.0</v>
      </c>
      <c r="F213" s="20">
        <v>16098.0</v>
      </c>
      <c r="G213" s="20">
        <v>16098.0</v>
      </c>
      <c r="H213" s="20">
        <v>23066.0</v>
      </c>
      <c r="I213" s="20">
        <v>152.0</v>
      </c>
      <c r="J213" s="29">
        <f t="shared" si="7"/>
        <v>4.157894737</v>
      </c>
      <c r="T213" s="29">
        <v>50000.0</v>
      </c>
      <c r="U213" s="29">
        <v>256.0</v>
      </c>
      <c r="V213" s="29">
        <v>64.0</v>
      </c>
      <c r="W213" s="29">
        <v>20.889328063241106</v>
      </c>
    </row>
    <row r="214">
      <c r="A214" s="20">
        <v>10000.0</v>
      </c>
      <c r="B214" s="20">
        <v>128.0</v>
      </c>
      <c r="C214" s="20">
        <v>64.0</v>
      </c>
      <c r="D214" s="20">
        <v>4.53018064E8</v>
      </c>
      <c r="E214" s="20">
        <v>225320.0</v>
      </c>
      <c r="F214" s="20">
        <v>16826.0</v>
      </c>
      <c r="G214" s="20">
        <v>16826.0</v>
      </c>
      <c r="H214" s="20">
        <v>23051.0</v>
      </c>
      <c r="I214" s="20">
        <v>204.0</v>
      </c>
      <c r="J214" s="29">
        <f t="shared" si="7"/>
        <v>3.323529412</v>
      </c>
      <c r="T214" s="29">
        <v>100000.0</v>
      </c>
      <c r="U214" s="29">
        <v>256.0</v>
      </c>
      <c r="V214" s="29">
        <v>64.0</v>
      </c>
      <c r="W214" s="29">
        <v>14.690909090909091</v>
      </c>
    </row>
    <row r="215">
      <c r="A215" s="20">
        <v>32128.0</v>
      </c>
      <c r="B215" s="20">
        <v>128.0</v>
      </c>
      <c r="C215" s="20">
        <v>16.0</v>
      </c>
      <c r="D215" s="20">
        <v>1.443435576E9</v>
      </c>
      <c r="E215" s="20">
        <v>616011.0</v>
      </c>
      <c r="F215" s="20">
        <v>22992.0</v>
      </c>
      <c r="G215" s="20">
        <v>22992.0</v>
      </c>
      <c r="H215" s="20">
        <v>23069.0</v>
      </c>
      <c r="I215" s="20">
        <v>291.0</v>
      </c>
      <c r="J215" s="29">
        <f t="shared" si="7"/>
        <v>2.333333333</v>
      </c>
      <c r="T215" s="29">
        <v>10000.0</v>
      </c>
      <c r="U215" s="29">
        <v>512.0</v>
      </c>
      <c r="V215" s="29">
        <v>64.0</v>
      </c>
      <c r="W215" s="29">
        <v>10.33731343283582</v>
      </c>
    </row>
    <row r="216">
      <c r="A216" s="20">
        <v>32128.0</v>
      </c>
      <c r="B216" s="20">
        <v>128.0</v>
      </c>
      <c r="C216" s="20">
        <v>32.0</v>
      </c>
      <c r="D216" s="20">
        <v>1.443925255E9</v>
      </c>
      <c r="E216" s="20">
        <v>656344.0</v>
      </c>
      <c r="F216" s="20">
        <v>23818.0</v>
      </c>
      <c r="G216" s="20">
        <v>23818.0</v>
      </c>
      <c r="H216" s="20">
        <v>23056.0</v>
      </c>
      <c r="I216" s="20">
        <v>262.0</v>
      </c>
      <c r="J216" s="29">
        <f t="shared" si="7"/>
        <v>3.381679389</v>
      </c>
      <c r="T216" s="29">
        <v>32128.0</v>
      </c>
      <c r="U216" s="29">
        <v>512.0</v>
      </c>
      <c r="V216" s="29">
        <v>64.0</v>
      </c>
      <c r="W216" s="29">
        <v>9.135699373695198</v>
      </c>
    </row>
    <row r="217">
      <c r="A217" s="20">
        <v>32128.0</v>
      </c>
      <c r="B217" s="20">
        <v>128.0</v>
      </c>
      <c r="C217" s="20">
        <v>64.0</v>
      </c>
      <c r="D217" s="20">
        <v>1.444148374E9</v>
      </c>
      <c r="E217" s="20">
        <v>659875.0</v>
      </c>
      <c r="F217" s="20">
        <v>25862.0</v>
      </c>
      <c r="G217" s="20">
        <v>25862.0</v>
      </c>
      <c r="H217" s="20">
        <v>23074.0</v>
      </c>
      <c r="I217" s="20">
        <v>324.0</v>
      </c>
      <c r="J217" s="29">
        <f t="shared" si="7"/>
        <v>2.50308642</v>
      </c>
      <c r="T217" s="29">
        <v>50000.0</v>
      </c>
      <c r="U217" s="29">
        <v>512.0</v>
      </c>
      <c r="V217" s="29">
        <v>64.0</v>
      </c>
      <c r="W217" s="29">
        <v>9.213861386138614</v>
      </c>
    </row>
    <row r="218">
      <c r="A218" s="20">
        <v>50000.0</v>
      </c>
      <c r="B218" s="20">
        <v>128.0</v>
      </c>
      <c r="C218" s="20">
        <v>16.0</v>
      </c>
      <c r="D218" s="20">
        <v>2.243878026E9</v>
      </c>
      <c r="E218" s="20">
        <v>953499.0</v>
      </c>
      <c r="F218" s="20">
        <v>29675.0</v>
      </c>
      <c r="G218" s="20">
        <v>29675.0</v>
      </c>
      <c r="H218" s="20">
        <v>23079.0</v>
      </c>
      <c r="I218" s="20">
        <v>401.0</v>
      </c>
      <c r="J218" s="29">
        <f t="shared" si="7"/>
        <v>1.773067332</v>
      </c>
      <c r="T218" s="29">
        <v>100000.0</v>
      </c>
      <c r="U218" s="29">
        <v>512.0</v>
      </c>
      <c r="V218" s="29">
        <v>64.0</v>
      </c>
      <c r="W218" s="29">
        <v>11.09041095890411</v>
      </c>
    </row>
    <row r="219">
      <c r="A219" s="20">
        <v>50000.0</v>
      </c>
      <c r="B219" s="20">
        <v>128.0</v>
      </c>
      <c r="C219" s="20">
        <v>32.0</v>
      </c>
      <c r="D219" s="20">
        <v>2.247374748E9</v>
      </c>
      <c r="E219" s="20">
        <v>1073928.0</v>
      </c>
      <c r="F219" s="20">
        <v>33151.0</v>
      </c>
      <c r="G219" s="20">
        <v>33151.0</v>
      </c>
      <c r="H219" s="20">
        <v>23083.0</v>
      </c>
      <c r="I219" s="20">
        <v>344.0</v>
      </c>
      <c r="J219" s="29">
        <f t="shared" si="7"/>
        <v>2.072674419</v>
      </c>
      <c r="T219" s="29">
        <v>10000.0</v>
      </c>
      <c r="U219" s="29">
        <v>768.0</v>
      </c>
      <c r="V219" s="29">
        <v>64.0</v>
      </c>
      <c r="W219" s="29">
        <v>6.673913043478261</v>
      </c>
    </row>
    <row r="220">
      <c r="A220" s="20">
        <v>50000.0</v>
      </c>
      <c r="B220" s="20">
        <v>128.0</v>
      </c>
      <c r="C220" s="20">
        <v>64.0</v>
      </c>
      <c r="D220" s="20">
        <v>2.243274165E9</v>
      </c>
      <c r="E220" s="20">
        <v>972562.0</v>
      </c>
      <c r="F220" s="20">
        <v>27240.0</v>
      </c>
      <c r="G220" s="20">
        <v>27240.0</v>
      </c>
      <c r="H220" s="20">
        <v>23057.0</v>
      </c>
      <c r="I220" s="20">
        <v>324.0</v>
      </c>
      <c r="J220" s="29">
        <f t="shared" si="7"/>
        <v>2.169753086</v>
      </c>
      <c r="T220" s="29">
        <v>32128.0</v>
      </c>
      <c r="U220" s="29">
        <v>768.0</v>
      </c>
      <c r="V220" s="29">
        <v>64.0</v>
      </c>
      <c r="W220" s="29">
        <v>8.457142857142857</v>
      </c>
    </row>
    <row r="221">
      <c r="A221" s="20">
        <v>100000.0</v>
      </c>
      <c r="B221" s="20">
        <v>128.0</v>
      </c>
      <c r="C221" s="20">
        <v>16.0</v>
      </c>
      <c r="D221" s="20">
        <v>4.484486516E9</v>
      </c>
      <c r="E221" s="20">
        <v>1907658.0</v>
      </c>
      <c r="F221" s="20">
        <v>55381.0</v>
      </c>
      <c r="G221" s="20">
        <v>55381.0</v>
      </c>
      <c r="H221" s="20">
        <v>23064.0</v>
      </c>
      <c r="I221" s="20">
        <v>345.0</v>
      </c>
      <c r="J221" s="29">
        <f t="shared" si="7"/>
        <v>2.147826087</v>
      </c>
      <c r="T221" s="29">
        <v>50000.0</v>
      </c>
      <c r="U221" s="29">
        <v>768.0</v>
      </c>
      <c r="V221" s="29">
        <v>64.0</v>
      </c>
      <c r="W221" s="29">
        <v>9.312757201646091</v>
      </c>
    </row>
    <row r="222">
      <c r="A222" s="20">
        <v>100000.0</v>
      </c>
      <c r="B222" s="20">
        <v>128.0</v>
      </c>
      <c r="C222" s="20">
        <v>32.0</v>
      </c>
      <c r="D222" s="20">
        <v>4.482011893E9</v>
      </c>
      <c r="E222" s="20">
        <v>1837695.0</v>
      </c>
      <c r="F222" s="20">
        <v>46091.0</v>
      </c>
      <c r="G222" s="20">
        <v>46091.0</v>
      </c>
      <c r="H222" s="20">
        <v>23072.0</v>
      </c>
      <c r="I222" s="20">
        <v>320.0</v>
      </c>
      <c r="J222" s="29">
        <f t="shared" si="7"/>
        <v>2.275</v>
      </c>
      <c r="T222" s="29">
        <v>100000.0</v>
      </c>
      <c r="U222" s="29">
        <v>768.0</v>
      </c>
      <c r="V222" s="29">
        <v>64.0</v>
      </c>
      <c r="W222" s="29">
        <v>8.03155818540434</v>
      </c>
    </row>
    <row r="223">
      <c r="A223" s="20">
        <v>100000.0</v>
      </c>
      <c r="B223" s="20">
        <v>128.0</v>
      </c>
      <c r="C223" s="20">
        <v>64.0</v>
      </c>
      <c r="D223" s="20">
        <v>4.479205846E9</v>
      </c>
      <c r="E223" s="20">
        <v>1804717.0</v>
      </c>
      <c r="F223" s="20">
        <v>33992.0</v>
      </c>
      <c r="G223" s="20">
        <v>33992.0</v>
      </c>
      <c r="H223" s="20">
        <v>23069.0</v>
      </c>
      <c r="I223" s="20">
        <v>287.0</v>
      </c>
      <c r="J223" s="29">
        <f t="shared" si="7"/>
        <v>2.526132404</v>
      </c>
    </row>
    <row r="224">
      <c r="A224" s="20">
        <v>10000.0</v>
      </c>
      <c r="B224" s="20">
        <v>256.0</v>
      </c>
      <c r="C224" s="20">
        <v>16.0</v>
      </c>
      <c r="D224" s="20">
        <v>9.01848702E8</v>
      </c>
      <c r="E224" s="20">
        <v>408421.0</v>
      </c>
      <c r="F224" s="20">
        <v>21205.0</v>
      </c>
      <c r="G224" s="20">
        <v>21205.0</v>
      </c>
      <c r="H224" s="20">
        <v>46114.0</v>
      </c>
      <c r="I224" s="20">
        <v>486.0</v>
      </c>
      <c r="J224" s="29">
        <f t="shared" si="7"/>
        <v>2.450617284</v>
      </c>
    </row>
    <row r="225">
      <c r="A225" s="20">
        <v>10000.0</v>
      </c>
      <c r="B225" s="20">
        <v>256.0</v>
      </c>
      <c r="C225" s="20">
        <v>32.0</v>
      </c>
      <c r="D225" s="20">
        <v>9.01599723E8</v>
      </c>
      <c r="E225" s="20">
        <v>404718.0</v>
      </c>
      <c r="F225" s="20">
        <v>18162.0</v>
      </c>
      <c r="G225" s="20">
        <v>18162.0</v>
      </c>
      <c r="H225" s="20">
        <v>46155.0</v>
      </c>
      <c r="I225" s="20">
        <v>361.0</v>
      </c>
      <c r="J225" s="29">
        <f t="shared" si="7"/>
        <v>3.113573407</v>
      </c>
    </row>
    <row r="226">
      <c r="A226" s="20">
        <v>10000.0</v>
      </c>
      <c r="B226" s="20">
        <v>256.0</v>
      </c>
      <c r="C226" s="20">
        <v>64.0</v>
      </c>
      <c r="D226" s="20">
        <v>9.01522618E8</v>
      </c>
      <c r="E226" s="20">
        <v>406563.0</v>
      </c>
      <c r="F226" s="20">
        <v>18568.0</v>
      </c>
      <c r="G226" s="20">
        <v>18568.0</v>
      </c>
      <c r="H226" s="20">
        <v>46124.0</v>
      </c>
      <c r="I226" s="20">
        <v>356.0</v>
      </c>
      <c r="J226" s="29">
        <f t="shared" si="7"/>
        <v>3.356741573</v>
      </c>
    </row>
    <row r="227">
      <c r="A227" s="20">
        <v>32128.0</v>
      </c>
      <c r="B227" s="20">
        <v>256.0</v>
      </c>
      <c r="C227" s="20">
        <v>16.0</v>
      </c>
      <c r="D227" s="20">
        <v>2.882844621E9</v>
      </c>
      <c r="E227" s="20">
        <v>1197672.0</v>
      </c>
      <c r="F227" s="20">
        <v>36393.0</v>
      </c>
      <c r="G227" s="20">
        <v>36393.0</v>
      </c>
      <c r="H227" s="20">
        <v>46229.0</v>
      </c>
      <c r="I227" s="20">
        <v>792.0</v>
      </c>
      <c r="J227" s="29">
        <f t="shared" si="7"/>
        <v>1.71969697</v>
      </c>
    </row>
    <row r="228">
      <c r="A228" s="20">
        <v>32128.0</v>
      </c>
      <c r="B228" s="20">
        <v>256.0</v>
      </c>
      <c r="C228" s="20">
        <v>32.0</v>
      </c>
      <c r="D228" s="20">
        <v>2.883435075E9</v>
      </c>
      <c r="E228" s="20">
        <v>1263454.0</v>
      </c>
      <c r="F228" s="20">
        <v>34695.0</v>
      </c>
      <c r="G228" s="20">
        <v>34695.0</v>
      </c>
      <c r="H228" s="20">
        <v>46122.0</v>
      </c>
      <c r="I228" s="20">
        <v>520.0</v>
      </c>
      <c r="J228" s="29">
        <f t="shared" si="7"/>
        <v>3.071153846</v>
      </c>
    </row>
    <row r="229">
      <c r="A229" s="20">
        <v>32128.0</v>
      </c>
      <c r="B229" s="20">
        <v>256.0</v>
      </c>
      <c r="C229" s="20">
        <v>64.0</v>
      </c>
      <c r="D229" s="20">
        <v>2.88494861E9</v>
      </c>
      <c r="E229" s="20">
        <v>1255668.0</v>
      </c>
      <c r="F229" s="20">
        <v>40355.0</v>
      </c>
      <c r="G229" s="20">
        <v>40355.0</v>
      </c>
      <c r="H229" s="20">
        <v>46145.0</v>
      </c>
      <c r="I229" s="20">
        <v>506.0</v>
      </c>
      <c r="J229" s="29">
        <f t="shared" si="7"/>
        <v>2.699604743</v>
      </c>
    </row>
    <row r="230">
      <c r="A230" s="20">
        <v>50000.0</v>
      </c>
      <c r="B230" s="20">
        <v>256.0</v>
      </c>
      <c r="C230" s="20">
        <v>16.0</v>
      </c>
      <c r="D230" s="20">
        <v>4.483658148E9</v>
      </c>
      <c r="E230" s="20">
        <v>1970859.0</v>
      </c>
      <c r="F230" s="20">
        <v>44009.0</v>
      </c>
      <c r="G230" s="20">
        <v>44009.0</v>
      </c>
      <c r="H230" s="20">
        <v>46134.0</v>
      </c>
      <c r="I230" s="20">
        <v>767.0</v>
      </c>
      <c r="J230" s="29">
        <f t="shared" si="7"/>
        <v>1.852672751</v>
      </c>
    </row>
    <row r="231">
      <c r="A231" s="20">
        <v>50000.0</v>
      </c>
      <c r="B231" s="20">
        <v>256.0</v>
      </c>
      <c r="C231" s="20">
        <v>32.0</v>
      </c>
      <c r="D231" s="20">
        <v>4.486180746E9</v>
      </c>
      <c r="E231" s="20">
        <v>1915684.0</v>
      </c>
      <c r="F231" s="20">
        <v>49519.0</v>
      </c>
      <c r="G231" s="20">
        <v>49519.0</v>
      </c>
      <c r="H231" s="20">
        <v>46148.0</v>
      </c>
      <c r="I231" s="20">
        <v>590.0</v>
      </c>
      <c r="J231" s="29">
        <f t="shared" si="7"/>
        <v>2.793220339</v>
      </c>
    </row>
    <row r="232">
      <c r="A232" s="20">
        <v>50000.0</v>
      </c>
      <c r="B232" s="20">
        <v>256.0</v>
      </c>
      <c r="C232" s="20">
        <v>64.0</v>
      </c>
      <c r="D232" s="20">
        <v>4.487638825E9</v>
      </c>
      <c r="E232" s="20">
        <v>1905522.0</v>
      </c>
      <c r="F232" s="20">
        <v>52255.0</v>
      </c>
      <c r="G232" s="20">
        <v>52255.0</v>
      </c>
      <c r="H232" s="20">
        <v>46135.0</v>
      </c>
      <c r="I232" s="20">
        <v>555.0</v>
      </c>
      <c r="J232" s="29">
        <f t="shared" si="7"/>
        <v>2.994594595</v>
      </c>
    </row>
    <row r="233">
      <c r="A233" s="20">
        <v>100000.0</v>
      </c>
      <c r="B233" s="20">
        <v>256.0</v>
      </c>
      <c r="C233" s="20">
        <v>16.0</v>
      </c>
      <c r="D233" s="20">
        <v>8.961319981E9</v>
      </c>
      <c r="E233" s="20">
        <v>3615692.0</v>
      </c>
      <c r="F233" s="20">
        <v>85358.0</v>
      </c>
      <c r="G233" s="20">
        <v>85358.0</v>
      </c>
      <c r="H233" s="20">
        <v>46125.0</v>
      </c>
      <c r="I233" s="20">
        <v>617.0</v>
      </c>
      <c r="J233" s="29">
        <f t="shared" si="7"/>
        <v>2.927066451</v>
      </c>
    </row>
    <row r="234">
      <c r="A234" s="20">
        <v>100000.0</v>
      </c>
      <c r="B234" s="20">
        <v>256.0</v>
      </c>
      <c r="C234" s="20">
        <v>32.0</v>
      </c>
      <c r="D234" s="20">
        <v>8.966857365E9</v>
      </c>
      <c r="E234" s="20">
        <v>3739955.0</v>
      </c>
      <c r="F234" s="20">
        <v>98093.0</v>
      </c>
      <c r="G234" s="20">
        <v>98093.0</v>
      </c>
      <c r="H234" s="20">
        <v>46147.0</v>
      </c>
      <c r="I234" s="20">
        <v>597.0</v>
      </c>
      <c r="J234" s="29">
        <f t="shared" si="7"/>
        <v>2.886097152</v>
      </c>
    </row>
    <row r="235">
      <c r="A235" s="20">
        <v>100000.0</v>
      </c>
      <c r="B235" s="20">
        <v>256.0</v>
      </c>
      <c r="C235" s="20">
        <v>64.0</v>
      </c>
      <c r="D235" s="20">
        <v>8.963687989E9</v>
      </c>
      <c r="E235" s="20">
        <v>3801888.0</v>
      </c>
      <c r="F235" s="20">
        <v>112312.0</v>
      </c>
      <c r="G235" s="20">
        <v>112312.0</v>
      </c>
      <c r="H235" s="20">
        <v>46273.0</v>
      </c>
      <c r="I235" s="20">
        <v>787.0</v>
      </c>
      <c r="J235" s="29">
        <f t="shared" si="7"/>
        <v>2.038119441</v>
      </c>
    </row>
    <row r="236">
      <c r="A236" s="20">
        <v>10000.0</v>
      </c>
      <c r="B236" s="20">
        <v>512.0</v>
      </c>
      <c r="C236" s="20">
        <v>16.0</v>
      </c>
      <c r="D236" s="20">
        <v>1.799051214E9</v>
      </c>
      <c r="E236" s="20">
        <v>770271.0</v>
      </c>
      <c r="F236" s="20">
        <v>25554.0</v>
      </c>
      <c r="G236" s="20">
        <v>25554.0</v>
      </c>
      <c r="H236" s="20">
        <v>92267.0</v>
      </c>
      <c r="I236" s="20">
        <v>1010.0</v>
      </c>
      <c r="J236" s="29">
        <f t="shared" si="7"/>
        <v>2.542574257</v>
      </c>
    </row>
    <row r="237">
      <c r="A237" s="20">
        <v>10000.0</v>
      </c>
      <c r="B237" s="20">
        <v>512.0</v>
      </c>
      <c r="C237" s="20">
        <v>32.0</v>
      </c>
      <c r="D237" s="20">
        <v>1.800743205E9</v>
      </c>
      <c r="E237" s="20">
        <v>784113.0</v>
      </c>
      <c r="F237" s="20">
        <v>31016.0</v>
      </c>
      <c r="G237" s="20">
        <v>31016.0</v>
      </c>
      <c r="H237" s="20">
        <v>92273.0</v>
      </c>
      <c r="I237" s="20">
        <v>848.0</v>
      </c>
      <c r="J237" s="29">
        <f t="shared" si="7"/>
        <v>3.012971698</v>
      </c>
    </row>
    <row r="238">
      <c r="A238" s="20">
        <v>10000.0</v>
      </c>
      <c r="B238" s="20">
        <v>512.0</v>
      </c>
      <c r="C238" s="20">
        <v>64.0</v>
      </c>
      <c r="D238" s="20">
        <v>1.800449357E9</v>
      </c>
      <c r="E238" s="20">
        <v>793920.0</v>
      </c>
      <c r="F238" s="20">
        <v>31344.0</v>
      </c>
      <c r="G238" s="20">
        <v>31344.0</v>
      </c>
      <c r="H238" s="20">
        <v>92256.0</v>
      </c>
      <c r="I238" s="20">
        <v>804.0</v>
      </c>
      <c r="J238" s="29">
        <f t="shared" si="7"/>
        <v>3.162935323</v>
      </c>
    </row>
    <row r="239">
      <c r="A239" s="20">
        <v>32128.0</v>
      </c>
      <c r="B239" s="20">
        <v>512.0</v>
      </c>
      <c r="C239" s="20">
        <v>16.0</v>
      </c>
      <c r="D239" s="20">
        <v>5.762643173E9</v>
      </c>
      <c r="E239" s="20">
        <v>2519732.0</v>
      </c>
      <c r="F239" s="20">
        <v>53016.0</v>
      </c>
      <c r="G239" s="20">
        <v>53016.0</v>
      </c>
      <c r="H239" s="20">
        <v>92252.0</v>
      </c>
      <c r="I239" s="20">
        <v>1250.0</v>
      </c>
      <c r="J239" s="29">
        <f t="shared" si="7"/>
        <v>2.22</v>
      </c>
    </row>
    <row r="240">
      <c r="A240" s="20">
        <v>32128.0</v>
      </c>
      <c r="B240" s="20">
        <v>512.0</v>
      </c>
      <c r="C240" s="20">
        <v>32.0</v>
      </c>
      <c r="D240" s="20">
        <v>5.762100189E9</v>
      </c>
      <c r="E240" s="20">
        <v>2355331.0</v>
      </c>
      <c r="F240" s="20">
        <v>58354.0</v>
      </c>
      <c r="G240" s="20">
        <v>58354.0</v>
      </c>
      <c r="H240" s="20">
        <v>92270.0</v>
      </c>
      <c r="I240" s="20">
        <v>867.0</v>
      </c>
      <c r="J240" s="29">
        <f t="shared" si="7"/>
        <v>3.054209919</v>
      </c>
    </row>
    <row r="241">
      <c r="A241" s="20">
        <v>32128.0</v>
      </c>
      <c r="B241" s="20">
        <v>512.0</v>
      </c>
      <c r="C241" s="20">
        <v>64.0</v>
      </c>
      <c r="D241" s="20">
        <v>5.767217083E9</v>
      </c>
      <c r="E241" s="20">
        <v>2437431.0</v>
      </c>
      <c r="F241" s="20">
        <v>71369.0</v>
      </c>
      <c r="G241" s="20">
        <v>71369.0</v>
      </c>
      <c r="H241" s="20">
        <v>92292.0</v>
      </c>
      <c r="I241" s="20">
        <v>948.0</v>
      </c>
      <c r="J241" s="29">
        <f t="shared" si="7"/>
        <v>2.948312236</v>
      </c>
    </row>
    <row r="242">
      <c r="A242" s="20">
        <v>50000.0</v>
      </c>
      <c r="B242" s="20">
        <v>512.0</v>
      </c>
      <c r="C242" s="20">
        <v>16.0</v>
      </c>
      <c r="D242" s="20">
        <v>8.969589719E9</v>
      </c>
      <c r="E242" s="20">
        <v>3804780.0</v>
      </c>
      <c r="F242" s="20">
        <v>102046.0</v>
      </c>
      <c r="G242" s="20">
        <v>102046.0</v>
      </c>
      <c r="H242" s="20">
        <v>92375.0</v>
      </c>
      <c r="I242" s="20">
        <v>1727.0</v>
      </c>
      <c r="J242" s="29">
        <f t="shared" si="7"/>
        <v>1.630573248</v>
      </c>
    </row>
    <row r="243">
      <c r="A243" s="20">
        <v>50000.0</v>
      </c>
      <c r="B243" s="20">
        <v>512.0</v>
      </c>
      <c r="C243" s="20">
        <v>32.0</v>
      </c>
      <c r="D243" s="20">
        <v>8.967816234E9</v>
      </c>
      <c r="E243" s="20">
        <v>3734116.0</v>
      </c>
      <c r="F243" s="20">
        <v>100515.0</v>
      </c>
      <c r="G243" s="20">
        <v>100515.0</v>
      </c>
      <c r="H243" s="20">
        <v>92282.0</v>
      </c>
      <c r="I243" s="20">
        <v>1061.0</v>
      </c>
      <c r="J243" s="29">
        <f t="shared" si="7"/>
        <v>3.036757776</v>
      </c>
    </row>
    <row r="244">
      <c r="A244" s="20">
        <v>50000.0</v>
      </c>
      <c r="B244" s="20">
        <v>512.0</v>
      </c>
      <c r="C244" s="20">
        <v>64.0</v>
      </c>
      <c r="D244" s="20">
        <v>8.968069044E9</v>
      </c>
      <c r="E244" s="20">
        <v>3825502.0</v>
      </c>
      <c r="F244" s="20">
        <v>108013.0</v>
      </c>
      <c r="G244" s="20">
        <v>108013.0</v>
      </c>
      <c r="H244" s="20">
        <v>92292.0</v>
      </c>
      <c r="I244" s="20">
        <v>1191.0</v>
      </c>
      <c r="J244" s="29">
        <f t="shared" si="7"/>
        <v>2.602015113</v>
      </c>
    </row>
    <row r="245">
      <c r="A245" s="20">
        <v>100000.0</v>
      </c>
      <c r="B245" s="20">
        <v>512.0</v>
      </c>
      <c r="C245" s="20">
        <v>16.0</v>
      </c>
      <c r="D245" s="20">
        <v>1.7922631971E10</v>
      </c>
      <c r="E245" s="20">
        <v>7347533.0</v>
      </c>
      <c r="F245" s="20">
        <v>170917.0</v>
      </c>
      <c r="G245" s="20">
        <v>170917.0</v>
      </c>
      <c r="H245" s="20">
        <v>92231.0</v>
      </c>
      <c r="I245" s="20">
        <v>1107.0</v>
      </c>
      <c r="J245" s="29">
        <f t="shared" si="7"/>
        <v>2.827461608</v>
      </c>
    </row>
    <row r="246">
      <c r="A246" s="20">
        <v>100000.0</v>
      </c>
      <c r="B246" s="20">
        <v>512.0</v>
      </c>
      <c r="C246" s="20">
        <v>32.0</v>
      </c>
      <c r="D246" s="20">
        <v>1.7920648E10</v>
      </c>
      <c r="E246" s="20">
        <v>7254014.0</v>
      </c>
      <c r="F246" s="20">
        <v>173946.0</v>
      </c>
      <c r="G246" s="20">
        <v>173946.0</v>
      </c>
      <c r="H246" s="20">
        <v>92280.0</v>
      </c>
      <c r="I246" s="20">
        <v>970.0</v>
      </c>
      <c r="J246" s="29">
        <f t="shared" si="7"/>
        <v>3.570103093</v>
      </c>
    </row>
    <row r="247">
      <c r="A247" s="20">
        <v>100000.0</v>
      </c>
      <c r="B247" s="20">
        <v>512.0</v>
      </c>
      <c r="C247" s="20">
        <v>64.0</v>
      </c>
      <c r="D247" s="20">
        <v>1.79234107E10</v>
      </c>
      <c r="E247" s="20">
        <v>7184521.0</v>
      </c>
      <c r="F247" s="20">
        <v>173098.0</v>
      </c>
      <c r="G247" s="20">
        <v>173098.0</v>
      </c>
      <c r="H247" s="20">
        <v>92280.0</v>
      </c>
      <c r="I247" s="20">
        <v>684.0</v>
      </c>
      <c r="J247" s="29">
        <f t="shared" si="7"/>
        <v>4.488304094</v>
      </c>
    </row>
    <row r="248">
      <c r="A248" s="20">
        <v>10000.0</v>
      </c>
      <c r="B248" s="20">
        <v>768.0</v>
      </c>
      <c r="C248" s="20">
        <v>16.0</v>
      </c>
      <c r="D248" s="20">
        <v>2.696418184E9</v>
      </c>
      <c r="E248" s="20">
        <v>1133530.0</v>
      </c>
      <c r="F248" s="20">
        <v>30535.0</v>
      </c>
      <c r="G248" s="20">
        <v>30535.0</v>
      </c>
      <c r="H248" s="20">
        <v>138400.0</v>
      </c>
      <c r="I248" s="20">
        <v>1456.0</v>
      </c>
      <c r="J248" s="29">
        <f t="shared" si="7"/>
        <v>2.75</v>
      </c>
    </row>
    <row r="249">
      <c r="A249" s="20">
        <v>10000.0</v>
      </c>
      <c r="B249" s="20">
        <v>768.0</v>
      </c>
      <c r="C249" s="20">
        <v>32.0</v>
      </c>
      <c r="D249" s="20">
        <v>2.699186713E9</v>
      </c>
      <c r="E249" s="20">
        <v>1182803.0</v>
      </c>
      <c r="F249" s="20">
        <v>42006.0</v>
      </c>
      <c r="G249" s="20">
        <v>42006.0</v>
      </c>
      <c r="H249" s="20">
        <v>138414.0</v>
      </c>
      <c r="I249" s="20">
        <v>1516.0</v>
      </c>
      <c r="J249" s="29">
        <f t="shared" si="7"/>
        <v>3.093667546</v>
      </c>
    </row>
    <row r="250">
      <c r="A250" s="20">
        <v>10000.0</v>
      </c>
      <c r="B250" s="20">
        <v>768.0</v>
      </c>
      <c r="C250" s="20">
        <v>64.0</v>
      </c>
      <c r="D250" s="20">
        <v>2.697161704E9</v>
      </c>
      <c r="E250" s="20">
        <v>1200253.0</v>
      </c>
      <c r="F250" s="20">
        <v>35842.0</v>
      </c>
      <c r="G250" s="20">
        <v>35842.0</v>
      </c>
      <c r="H250" s="20">
        <v>138399.0</v>
      </c>
      <c r="I250" s="20">
        <v>931.0</v>
      </c>
      <c r="J250" s="29">
        <f t="shared" si="7"/>
        <v>4.700322234</v>
      </c>
    </row>
    <row r="251">
      <c r="A251" s="20">
        <v>32128.0</v>
      </c>
      <c r="B251" s="20">
        <v>768.0</v>
      </c>
      <c r="C251" s="20">
        <v>16.0</v>
      </c>
      <c r="D251" s="20">
        <v>8.646535053E9</v>
      </c>
      <c r="E251" s="20">
        <v>3700457.0</v>
      </c>
      <c r="F251" s="20">
        <v>83243.0</v>
      </c>
      <c r="G251" s="20">
        <v>83243.0</v>
      </c>
      <c r="H251" s="20">
        <v>138412.0</v>
      </c>
      <c r="I251" s="20">
        <v>1700.0</v>
      </c>
      <c r="J251" s="29">
        <f t="shared" si="7"/>
        <v>2.611764706</v>
      </c>
    </row>
    <row r="252">
      <c r="A252" s="20">
        <v>32128.0</v>
      </c>
      <c r="B252" s="20">
        <v>768.0</v>
      </c>
      <c r="C252" s="20">
        <v>32.0</v>
      </c>
      <c r="D252" s="20">
        <v>8.645755131E9</v>
      </c>
      <c r="E252" s="20">
        <v>3587742.0</v>
      </c>
      <c r="F252" s="20">
        <v>114495.0</v>
      </c>
      <c r="G252" s="20">
        <v>114495.0</v>
      </c>
      <c r="H252" s="20">
        <v>138386.0</v>
      </c>
      <c r="I252" s="20">
        <v>1456.0</v>
      </c>
      <c r="J252" s="29">
        <f t="shared" si="7"/>
        <v>3.065934066</v>
      </c>
    </row>
    <row r="253">
      <c r="A253" s="20">
        <v>32128.0</v>
      </c>
      <c r="B253" s="20">
        <v>768.0</v>
      </c>
      <c r="C253" s="20">
        <v>64.0</v>
      </c>
      <c r="D253" s="20">
        <v>8.642877915E9</v>
      </c>
      <c r="E253" s="20">
        <v>3578888.0</v>
      </c>
      <c r="F253" s="20">
        <v>95577.0</v>
      </c>
      <c r="G253" s="20">
        <v>95577.0</v>
      </c>
      <c r="H253" s="20">
        <v>138410.0</v>
      </c>
      <c r="I253" s="20">
        <v>1159.0</v>
      </c>
      <c r="J253" s="29">
        <f t="shared" si="7"/>
        <v>4.559965487</v>
      </c>
    </row>
    <row r="254">
      <c r="A254" s="20">
        <v>50000.0</v>
      </c>
      <c r="B254" s="20">
        <v>768.0</v>
      </c>
      <c r="C254" s="20">
        <v>16.0</v>
      </c>
      <c r="D254" s="20">
        <v>1.3448414415E10</v>
      </c>
      <c r="E254" s="20">
        <v>5577528.0</v>
      </c>
      <c r="F254" s="20">
        <v>131120.0</v>
      </c>
      <c r="G254" s="20">
        <v>131120.0</v>
      </c>
      <c r="H254" s="20">
        <v>138492.0</v>
      </c>
      <c r="I254" s="20">
        <v>1810.0</v>
      </c>
      <c r="J254" s="29">
        <f t="shared" si="7"/>
        <v>2.570718232</v>
      </c>
    </row>
    <row r="255">
      <c r="A255" s="20">
        <v>50000.0</v>
      </c>
      <c r="B255" s="20">
        <v>768.0</v>
      </c>
      <c r="C255" s="20">
        <v>32.0</v>
      </c>
      <c r="D255" s="20">
        <v>1.3445520586E10</v>
      </c>
      <c r="E255" s="20">
        <v>5471372.0</v>
      </c>
      <c r="F255" s="20">
        <v>128977.0</v>
      </c>
      <c r="G255" s="20">
        <v>128977.0</v>
      </c>
      <c r="H255" s="20">
        <v>138368.0</v>
      </c>
      <c r="I255" s="20">
        <v>1285.0</v>
      </c>
      <c r="J255" s="29">
        <f t="shared" si="7"/>
        <v>3.522178988</v>
      </c>
    </row>
    <row r="256">
      <c r="A256" s="20">
        <v>50000.0</v>
      </c>
      <c r="B256" s="20">
        <v>768.0</v>
      </c>
      <c r="C256" s="20">
        <v>64.0</v>
      </c>
      <c r="D256" s="20">
        <v>1.3443098056E10</v>
      </c>
      <c r="E256" s="20">
        <v>5383586.0</v>
      </c>
      <c r="F256" s="20">
        <v>138363.0</v>
      </c>
      <c r="G256" s="20">
        <v>138363.0</v>
      </c>
      <c r="H256" s="20">
        <v>138413.0</v>
      </c>
      <c r="I256" s="20">
        <v>889.0</v>
      </c>
      <c r="J256" s="29">
        <f t="shared" si="7"/>
        <v>5.101237345</v>
      </c>
    </row>
    <row r="257">
      <c r="A257" s="20">
        <v>100000.0</v>
      </c>
      <c r="B257" s="20">
        <v>768.0</v>
      </c>
      <c r="C257" s="20">
        <v>16.0</v>
      </c>
      <c r="D257" s="20">
        <v>2.6881617413E10</v>
      </c>
      <c r="E257" s="20">
        <v>1.0594509E7</v>
      </c>
      <c r="F257" s="20">
        <v>245770.0</v>
      </c>
      <c r="G257" s="20">
        <v>245770.0</v>
      </c>
      <c r="H257" s="20">
        <v>138418.0</v>
      </c>
      <c r="I257" s="20">
        <v>1585.0</v>
      </c>
      <c r="J257" s="29">
        <f t="shared" si="7"/>
        <v>2.548895899</v>
      </c>
    </row>
    <row r="258">
      <c r="A258" s="20">
        <v>100000.0</v>
      </c>
      <c r="B258" s="20">
        <v>768.0</v>
      </c>
      <c r="C258" s="20">
        <v>32.0</v>
      </c>
      <c r="D258" s="20">
        <v>2.6883219594E10</v>
      </c>
      <c r="E258" s="20">
        <v>1.0755299E7</v>
      </c>
      <c r="F258" s="20">
        <v>237942.0</v>
      </c>
      <c r="G258" s="20">
        <v>237942.0</v>
      </c>
      <c r="H258" s="20">
        <v>138401.0</v>
      </c>
      <c r="I258" s="20">
        <v>1281.0</v>
      </c>
      <c r="J258" s="29">
        <f t="shared" si="7"/>
        <v>3.160031226</v>
      </c>
    </row>
    <row r="259">
      <c r="A259" s="20">
        <v>100000.0</v>
      </c>
      <c r="B259" s="20">
        <v>768.0</v>
      </c>
      <c r="C259" s="20">
        <v>64.0</v>
      </c>
      <c r="D259" s="20">
        <v>2.688157434E10</v>
      </c>
      <c r="E259" s="20">
        <v>1.068373E7</v>
      </c>
      <c r="F259" s="20">
        <v>232357.0</v>
      </c>
      <c r="G259" s="20">
        <v>232357.0</v>
      </c>
      <c r="H259" s="20">
        <v>138410.0</v>
      </c>
      <c r="I259" s="20">
        <v>929.0</v>
      </c>
      <c r="J259" s="29">
        <f t="shared" si="7"/>
        <v>4.38320775</v>
      </c>
    </row>
    <row r="260">
      <c r="A260" s="56"/>
      <c r="B260" s="56"/>
      <c r="C260" s="56"/>
      <c r="D260" s="56"/>
      <c r="E260" s="56"/>
      <c r="F260" s="56"/>
      <c r="G260" s="56"/>
      <c r="H260" s="56"/>
      <c r="I260" s="56"/>
    </row>
    <row r="261">
      <c r="A261" s="20" t="s">
        <v>125</v>
      </c>
      <c r="B261" s="20">
        <v>256.0</v>
      </c>
      <c r="C261" s="20" t="s">
        <v>93</v>
      </c>
      <c r="D261" s="20" t="s">
        <v>115</v>
      </c>
      <c r="E261" s="20" t="s">
        <v>117</v>
      </c>
      <c r="F261" s="20"/>
      <c r="G261" s="20"/>
      <c r="H261" s="20"/>
      <c r="I261" s="20"/>
    </row>
    <row r="262">
      <c r="A262" s="56"/>
      <c r="B262" s="56"/>
      <c r="C262" s="56"/>
      <c r="D262" s="56"/>
      <c r="E262" s="56"/>
      <c r="F262" s="56"/>
      <c r="G262" s="56"/>
      <c r="H262" s="56"/>
      <c r="I262" s="56"/>
    </row>
    <row r="263">
      <c r="A263" s="20" t="s">
        <v>107</v>
      </c>
      <c r="B263" s="20" t="s">
        <v>99</v>
      </c>
      <c r="C263" s="20" t="s">
        <v>100</v>
      </c>
      <c r="D263" s="20" t="s">
        <v>109</v>
      </c>
      <c r="E263" s="20" t="s">
        <v>110</v>
      </c>
      <c r="F263" s="20" t="s">
        <v>111</v>
      </c>
      <c r="G263" s="20" t="s">
        <v>112</v>
      </c>
      <c r="H263" s="20" t="s">
        <v>113</v>
      </c>
      <c r="I263" s="20" t="s">
        <v>101</v>
      </c>
      <c r="J263" s="59" t="s">
        <v>145</v>
      </c>
      <c r="K263" s="60"/>
    </row>
    <row r="264">
      <c r="A264" s="20">
        <v>10000.0</v>
      </c>
      <c r="B264" s="20">
        <v>128.0</v>
      </c>
      <c r="C264" s="20">
        <v>16.0</v>
      </c>
      <c r="D264" s="20">
        <v>4.52821896E8</v>
      </c>
      <c r="E264" s="20">
        <v>233424.0</v>
      </c>
      <c r="F264" s="20">
        <v>7251.0</v>
      </c>
      <c r="G264" s="20">
        <v>7251.0</v>
      </c>
      <c r="H264" s="20">
        <v>23060.0</v>
      </c>
      <c r="I264" s="20">
        <v>116.0</v>
      </c>
      <c r="J264" s="59">
        <f t="shared" ref="J264:J311" si="8">I2/I264</f>
        <v>3.405172414</v>
      </c>
      <c r="K264" s="60"/>
    </row>
    <row r="265">
      <c r="A265" s="20">
        <v>10000.0</v>
      </c>
      <c r="B265" s="20">
        <v>128.0</v>
      </c>
      <c r="C265" s="20">
        <v>32.0</v>
      </c>
      <c r="D265" s="20">
        <v>4.53078684E8</v>
      </c>
      <c r="E265" s="20">
        <v>237152.0</v>
      </c>
      <c r="F265" s="20">
        <v>9246.0</v>
      </c>
      <c r="G265" s="20">
        <v>9246.0</v>
      </c>
      <c r="H265" s="20">
        <v>23071.0</v>
      </c>
      <c r="I265" s="20">
        <v>151.0</v>
      </c>
      <c r="J265" s="59">
        <f t="shared" si="8"/>
        <v>4.185430464</v>
      </c>
      <c r="K265" s="60"/>
    </row>
    <row r="266">
      <c r="A266" s="20">
        <v>10000.0</v>
      </c>
      <c r="B266" s="20">
        <v>128.0</v>
      </c>
      <c r="C266" s="20">
        <v>64.0</v>
      </c>
      <c r="D266" s="20">
        <v>4.53113565E8</v>
      </c>
      <c r="E266" s="20">
        <v>247682.0</v>
      </c>
      <c r="F266" s="20">
        <v>9703.0</v>
      </c>
      <c r="G266" s="20">
        <v>9703.0</v>
      </c>
      <c r="H266" s="20">
        <v>23068.0</v>
      </c>
      <c r="I266" s="20">
        <v>153.0</v>
      </c>
      <c r="J266" s="59">
        <f t="shared" si="8"/>
        <v>4.431372549</v>
      </c>
      <c r="K266" s="60"/>
    </row>
    <row r="267">
      <c r="A267" s="20">
        <v>32128.0</v>
      </c>
      <c r="B267" s="20">
        <v>128.0</v>
      </c>
      <c r="C267" s="20">
        <v>16.0</v>
      </c>
      <c r="D267" s="20">
        <v>1.443975669E9</v>
      </c>
      <c r="E267" s="20">
        <v>659992.0</v>
      </c>
      <c r="F267" s="20">
        <v>15990.0</v>
      </c>
      <c r="G267" s="20">
        <v>15990.0</v>
      </c>
      <c r="H267" s="20">
        <v>23058.0</v>
      </c>
      <c r="I267" s="20">
        <v>189.0</v>
      </c>
      <c r="J267" s="59">
        <f t="shared" si="8"/>
        <v>3.592592593</v>
      </c>
      <c r="K267" s="60"/>
    </row>
    <row r="268">
      <c r="A268" s="20">
        <v>32128.0</v>
      </c>
      <c r="B268" s="20">
        <v>128.0</v>
      </c>
      <c r="C268" s="20">
        <v>32.0</v>
      </c>
      <c r="D268" s="20">
        <v>1.443377009E9</v>
      </c>
      <c r="E268" s="20">
        <v>663065.0</v>
      </c>
      <c r="F268" s="20">
        <v>14753.0</v>
      </c>
      <c r="G268" s="20">
        <v>14753.0</v>
      </c>
      <c r="H268" s="20">
        <v>23070.0</v>
      </c>
      <c r="I268" s="20">
        <v>282.0</v>
      </c>
      <c r="J268" s="59">
        <f t="shared" si="8"/>
        <v>3.141843972</v>
      </c>
      <c r="K268" s="60"/>
    </row>
    <row r="269">
      <c r="A269" s="20">
        <v>32128.0</v>
      </c>
      <c r="B269" s="20">
        <v>128.0</v>
      </c>
      <c r="C269" s="20">
        <v>64.0</v>
      </c>
      <c r="D269" s="20">
        <v>1.443692498E9</v>
      </c>
      <c r="E269" s="20">
        <v>643399.0</v>
      </c>
      <c r="F269" s="20">
        <v>18114.0</v>
      </c>
      <c r="G269" s="20">
        <v>18114.0</v>
      </c>
      <c r="H269" s="20">
        <v>23060.0</v>
      </c>
      <c r="I269" s="20">
        <v>259.0</v>
      </c>
      <c r="J269" s="59">
        <f t="shared" si="8"/>
        <v>3.131274131</v>
      </c>
      <c r="K269" s="60"/>
    </row>
    <row r="270">
      <c r="A270" s="20">
        <v>50000.0</v>
      </c>
      <c r="B270" s="20">
        <v>128.0</v>
      </c>
      <c r="C270" s="20">
        <v>16.0</v>
      </c>
      <c r="D270" s="20">
        <v>2.24324593E9</v>
      </c>
      <c r="E270" s="20">
        <v>975618.0</v>
      </c>
      <c r="F270" s="20">
        <v>17499.0</v>
      </c>
      <c r="G270" s="20">
        <v>17499.0</v>
      </c>
      <c r="H270" s="20">
        <v>23055.0</v>
      </c>
      <c r="I270" s="20">
        <v>207.0</v>
      </c>
      <c r="J270" s="59">
        <f t="shared" si="8"/>
        <v>3.434782609</v>
      </c>
      <c r="K270" s="60"/>
    </row>
    <row r="271">
      <c r="A271" s="20">
        <v>50000.0</v>
      </c>
      <c r="B271" s="20">
        <v>128.0</v>
      </c>
      <c r="C271" s="20">
        <v>32.0</v>
      </c>
      <c r="D271" s="20">
        <v>2.244295749E9</v>
      </c>
      <c r="E271" s="20">
        <v>957322.0</v>
      </c>
      <c r="F271" s="20">
        <v>18852.0</v>
      </c>
      <c r="G271" s="20">
        <v>18852.0</v>
      </c>
      <c r="H271" s="20">
        <v>23067.0</v>
      </c>
      <c r="I271" s="20">
        <v>332.0</v>
      </c>
      <c r="J271" s="59">
        <f t="shared" si="8"/>
        <v>2.147590361</v>
      </c>
      <c r="K271" s="60"/>
    </row>
    <row r="272">
      <c r="A272" s="20">
        <v>50000.0</v>
      </c>
      <c r="B272" s="20">
        <v>128.0</v>
      </c>
      <c r="C272" s="20">
        <v>64.0</v>
      </c>
      <c r="D272" s="20">
        <v>2.248283314E9</v>
      </c>
      <c r="E272" s="20">
        <v>985417.0</v>
      </c>
      <c r="F272" s="20">
        <v>25016.0</v>
      </c>
      <c r="G272" s="20">
        <v>25016.0</v>
      </c>
      <c r="H272" s="20">
        <v>23046.0</v>
      </c>
      <c r="I272" s="20">
        <v>203.0</v>
      </c>
      <c r="J272" s="59">
        <f t="shared" si="8"/>
        <v>3.463054187</v>
      </c>
      <c r="K272" s="60"/>
    </row>
    <row r="273">
      <c r="A273" s="20">
        <v>100000.0</v>
      </c>
      <c r="B273" s="20">
        <v>128.0</v>
      </c>
      <c r="C273" s="20">
        <v>16.0</v>
      </c>
      <c r="D273" s="20">
        <v>4.488908529E9</v>
      </c>
      <c r="E273" s="20">
        <v>1858200.0</v>
      </c>
      <c r="F273" s="20">
        <v>26500.0</v>
      </c>
      <c r="G273" s="20">
        <v>26500.0</v>
      </c>
      <c r="H273" s="20">
        <v>23055.0</v>
      </c>
      <c r="I273" s="20">
        <v>296.0</v>
      </c>
      <c r="J273" s="59">
        <f t="shared" si="8"/>
        <v>2.503378378</v>
      </c>
      <c r="K273" s="60"/>
    </row>
    <row r="274">
      <c r="A274" s="20">
        <v>100000.0</v>
      </c>
      <c r="B274" s="20">
        <v>128.0</v>
      </c>
      <c r="C274" s="20">
        <v>32.0</v>
      </c>
      <c r="D274" s="20">
        <v>4.499060346E9</v>
      </c>
      <c r="E274" s="20">
        <v>1864805.0</v>
      </c>
      <c r="F274" s="20">
        <v>18552.0</v>
      </c>
      <c r="G274" s="20">
        <v>18552.0</v>
      </c>
      <c r="H274" s="20">
        <v>23064.0</v>
      </c>
      <c r="I274" s="20">
        <v>419.0</v>
      </c>
      <c r="J274" s="59">
        <f t="shared" si="8"/>
        <v>1.737470167</v>
      </c>
      <c r="K274" s="60"/>
    </row>
    <row r="275">
      <c r="A275" s="20">
        <v>100000.0</v>
      </c>
      <c r="B275" s="20">
        <v>128.0</v>
      </c>
      <c r="C275" s="20">
        <v>64.0</v>
      </c>
      <c r="D275" s="20">
        <v>4.486911616E9</v>
      </c>
      <c r="E275" s="20">
        <v>1863011.0</v>
      </c>
      <c r="F275" s="20">
        <v>31168.0</v>
      </c>
      <c r="G275" s="20">
        <v>31168.0</v>
      </c>
      <c r="H275" s="20">
        <v>23059.0</v>
      </c>
      <c r="I275" s="20">
        <v>265.0</v>
      </c>
      <c r="J275" s="59">
        <f t="shared" si="8"/>
        <v>2.735849057</v>
      </c>
      <c r="K275" s="60"/>
    </row>
    <row r="276">
      <c r="A276" s="20">
        <v>10000.0</v>
      </c>
      <c r="B276" s="20">
        <v>256.0</v>
      </c>
      <c r="C276" s="20">
        <v>16.0</v>
      </c>
      <c r="D276" s="20">
        <v>9.01314669E8</v>
      </c>
      <c r="E276" s="20">
        <v>416133.0</v>
      </c>
      <c r="F276" s="20">
        <v>9344.0</v>
      </c>
      <c r="G276" s="20">
        <v>9344.0</v>
      </c>
      <c r="H276" s="20">
        <v>46132.0</v>
      </c>
      <c r="I276" s="20">
        <v>258.0</v>
      </c>
      <c r="J276" s="59">
        <f t="shared" si="8"/>
        <v>4.61627907</v>
      </c>
      <c r="K276" s="60"/>
    </row>
    <row r="277">
      <c r="A277" s="20">
        <v>10000.0</v>
      </c>
      <c r="B277" s="20">
        <v>256.0</v>
      </c>
      <c r="C277" s="20">
        <v>32.0</v>
      </c>
      <c r="D277" s="20">
        <v>9.01755018E8</v>
      </c>
      <c r="E277" s="20">
        <v>425742.0</v>
      </c>
      <c r="F277" s="20">
        <v>10506.0</v>
      </c>
      <c r="G277" s="20">
        <v>10506.0</v>
      </c>
      <c r="H277" s="20">
        <v>46122.0</v>
      </c>
      <c r="I277" s="20">
        <v>260.0</v>
      </c>
      <c r="J277" s="59">
        <f t="shared" si="8"/>
        <v>4.323076923</v>
      </c>
      <c r="K277" s="60"/>
    </row>
    <row r="278">
      <c r="A278" s="20">
        <v>10000.0</v>
      </c>
      <c r="B278" s="20">
        <v>256.0</v>
      </c>
      <c r="C278" s="20">
        <v>64.0</v>
      </c>
      <c r="D278" s="20">
        <v>9.01418715E8</v>
      </c>
      <c r="E278" s="20">
        <v>424887.0</v>
      </c>
      <c r="F278" s="20">
        <v>9601.0</v>
      </c>
      <c r="G278" s="20">
        <v>9601.0</v>
      </c>
      <c r="H278" s="20">
        <v>46569.0</v>
      </c>
      <c r="I278" s="20">
        <v>274.0</v>
      </c>
      <c r="J278" s="59">
        <f t="shared" si="8"/>
        <v>4.361313869</v>
      </c>
      <c r="K278" s="60"/>
    </row>
    <row r="279">
      <c r="A279" s="20">
        <v>32128.0</v>
      </c>
      <c r="B279" s="20">
        <v>256.0</v>
      </c>
      <c r="C279" s="20">
        <v>16.0</v>
      </c>
      <c r="D279" s="20">
        <v>2.884113094E9</v>
      </c>
      <c r="E279" s="20">
        <v>1252858.0</v>
      </c>
      <c r="F279" s="20">
        <v>19752.0</v>
      </c>
      <c r="G279" s="20">
        <v>19752.0</v>
      </c>
      <c r="H279" s="20">
        <v>46160.0</v>
      </c>
      <c r="I279" s="20">
        <v>408.0</v>
      </c>
      <c r="J279" s="59">
        <f t="shared" si="8"/>
        <v>3.338235294</v>
      </c>
      <c r="K279" s="60"/>
    </row>
    <row r="280">
      <c r="A280" s="20">
        <v>32128.0</v>
      </c>
      <c r="B280" s="20">
        <v>256.0</v>
      </c>
      <c r="C280" s="20">
        <v>32.0</v>
      </c>
      <c r="D280" s="20">
        <v>2.892855803E9</v>
      </c>
      <c r="E280" s="20">
        <v>1316182.0</v>
      </c>
      <c r="F280" s="20">
        <v>18062.0</v>
      </c>
      <c r="G280" s="20">
        <v>18062.0</v>
      </c>
      <c r="H280" s="20">
        <v>46131.0</v>
      </c>
      <c r="I280" s="20">
        <v>320.0</v>
      </c>
      <c r="J280" s="59">
        <f t="shared" si="8"/>
        <v>4.990625</v>
      </c>
      <c r="K280" s="60"/>
    </row>
    <row r="281">
      <c r="A281" s="20">
        <v>32128.0</v>
      </c>
      <c r="B281" s="20">
        <v>256.0</v>
      </c>
      <c r="C281" s="20">
        <v>64.0</v>
      </c>
      <c r="D281" s="20">
        <v>2.892767679E9</v>
      </c>
      <c r="E281" s="20">
        <v>1295452.0</v>
      </c>
      <c r="F281" s="20">
        <v>20103.0</v>
      </c>
      <c r="G281" s="20">
        <v>20103.0</v>
      </c>
      <c r="H281" s="20">
        <v>46111.0</v>
      </c>
      <c r="I281" s="20">
        <v>445.0</v>
      </c>
      <c r="J281" s="59">
        <f t="shared" si="8"/>
        <v>3.069662921</v>
      </c>
      <c r="K281" s="60"/>
    </row>
    <row r="282">
      <c r="A282" s="20">
        <v>50000.0</v>
      </c>
      <c r="B282" s="20">
        <v>256.0</v>
      </c>
      <c r="C282" s="20">
        <v>16.0</v>
      </c>
      <c r="D282" s="20">
        <v>4.498932779E9</v>
      </c>
      <c r="E282" s="20">
        <v>2044177.0</v>
      </c>
      <c r="F282" s="20">
        <v>23694.0</v>
      </c>
      <c r="G282" s="20">
        <v>23694.0</v>
      </c>
      <c r="H282" s="20">
        <v>46150.0</v>
      </c>
      <c r="I282" s="20">
        <v>422.0</v>
      </c>
      <c r="J282" s="59">
        <f t="shared" si="8"/>
        <v>3.367298578</v>
      </c>
      <c r="K282" s="60"/>
    </row>
    <row r="283">
      <c r="A283" s="20">
        <v>50000.0</v>
      </c>
      <c r="B283" s="20">
        <v>256.0</v>
      </c>
      <c r="C283" s="20">
        <v>32.0</v>
      </c>
      <c r="D283" s="20">
        <v>4.497665856E9</v>
      </c>
      <c r="E283" s="20">
        <v>2044951.0</v>
      </c>
      <c r="F283" s="20">
        <v>32820.0</v>
      </c>
      <c r="G283" s="20">
        <v>32820.0</v>
      </c>
      <c r="H283" s="20">
        <v>46117.0</v>
      </c>
      <c r="I283" s="20">
        <v>419.0</v>
      </c>
      <c r="J283" s="59">
        <f t="shared" si="8"/>
        <v>3.933174224</v>
      </c>
      <c r="K283" s="60"/>
    </row>
    <row r="284">
      <c r="A284" s="20">
        <v>50000.0</v>
      </c>
      <c r="B284" s="20">
        <v>256.0</v>
      </c>
      <c r="C284" s="20">
        <v>64.0</v>
      </c>
      <c r="D284" s="20">
        <v>4.500292133E9</v>
      </c>
      <c r="E284" s="20">
        <v>2067211.0</v>
      </c>
      <c r="F284" s="20">
        <v>33180.0</v>
      </c>
      <c r="G284" s="20">
        <v>33180.0</v>
      </c>
      <c r="H284" s="20">
        <v>46134.0</v>
      </c>
      <c r="I284" s="20">
        <v>416.0</v>
      </c>
      <c r="J284" s="59">
        <f t="shared" si="8"/>
        <v>3.995192308</v>
      </c>
      <c r="K284" s="60"/>
    </row>
    <row r="285">
      <c r="A285" s="20">
        <v>100000.0</v>
      </c>
      <c r="B285" s="20">
        <v>256.0</v>
      </c>
      <c r="C285" s="20">
        <v>16.0</v>
      </c>
      <c r="D285" s="20">
        <v>8.989746503E9</v>
      </c>
      <c r="E285" s="20">
        <v>3794069.0</v>
      </c>
      <c r="F285" s="20">
        <v>39711.0</v>
      </c>
      <c r="G285" s="20">
        <v>39711.0</v>
      </c>
      <c r="H285" s="20">
        <v>46129.0</v>
      </c>
      <c r="I285" s="20">
        <v>614.0</v>
      </c>
      <c r="J285" s="59">
        <f t="shared" si="8"/>
        <v>2.941368078</v>
      </c>
      <c r="K285" s="60"/>
    </row>
    <row r="286">
      <c r="A286" s="20">
        <v>100000.0</v>
      </c>
      <c r="B286" s="20">
        <v>256.0</v>
      </c>
      <c r="C286" s="20">
        <v>32.0</v>
      </c>
      <c r="D286" s="20">
        <v>8.993180164E9</v>
      </c>
      <c r="E286" s="20">
        <v>3784231.0</v>
      </c>
      <c r="F286" s="20">
        <v>30797.0</v>
      </c>
      <c r="G286" s="20">
        <v>30797.0</v>
      </c>
      <c r="H286" s="20">
        <v>46133.0</v>
      </c>
      <c r="I286" s="20">
        <v>586.0</v>
      </c>
      <c r="J286" s="59">
        <f t="shared" si="8"/>
        <v>2.940273038</v>
      </c>
      <c r="K286" s="60"/>
    </row>
    <row r="287">
      <c r="A287" s="20">
        <v>100000.0</v>
      </c>
      <c r="B287" s="20">
        <v>256.0</v>
      </c>
      <c r="C287" s="20">
        <v>64.0</v>
      </c>
      <c r="D287" s="20">
        <v>8.972433645E9</v>
      </c>
      <c r="E287" s="20">
        <v>4083540.0</v>
      </c>
      <c r="F287" s="20">
        <v>85203.0</v>
      </c>
      <c r="G287" s="20">
        <v>85203.0</v>
      </c>
      <c r="H287" s="20">
        <v>46259.0</v>
      </c>
      <c r="I287" s="20">
        <v>901.0</v>
      </c>
      <c r="J287" s="59">
        <f t="shared" si="8"/>
        <v>1.780244173</v>
      </c>
      <c r="K287" s="60"/>
    </row>
    <row r="288">
      <c r="A288" s="20">
        <v>10000.0</v>
      </c>
      <c r="B288" s="20">
        <v>512.0</v>
      </c>
      <c r="C288" s="20">
        <v>16.0</v>
      </c>
      <c r="D288" s="20">
        <v>1.79829897E9</v>
      </c>
      <c r="E288" s="20">
        <v>786717.0</v>
      </c>
      <c r="F288" s="20">
        <v>11645.0</v>
      </c>
      <c r="G288" s="20">
        <v>11645.0</v>
      </c>
      <c r="H288" s="20">
        <v>92254.0</v>
      </c>
      <c r="I288" s="20">
        <v>412.0</v>
      </c>
      <c r="J288" s="59">
        <f t="shared" si="8"/>
        <v>6.233009709</v>
      </c>
      <c r="K288" s="60"/>
    </row>
    <row r="289">
      <c r="A289" s="20">
        <v>10000.0</v>
      </c>
      <c r="B289" s="20">
        <v>512.0</v>
      </c>
      <c r="C289" s="20">
        <v>32.0</v>
      </c>
      <c r="D289" s="20">
        <v>1.798438302E9</v>
      </c>
      <c r="E289" s="20">
        <v>785582.0</v>
      </c>
      <c r="F289" s="20">
        <v>12624.0</v>
      </c>
      <c r="G289" s="20">
        <v>12624.0</v>
      </c>
      <c r="H289" s="20">
        <v>92244.0</v>
      </c>
      <c r="I289" s="20">
        <v>435.0</v>
      </c>
      <c r="J289" s="59">
        <f t="shared" si="8"/>
        <v>5.873563218</v>
      </c>
      <c r="K289" s="60"/>
    </row>
    <row r="290">
      <c r="A290" s="20">
        <v>10000.0</v>
      </c>
      <c r="B290" s="20">
        <v>512.0</v>
      </c>
      <c r="C290" s="20">
        <v>64.0</v>
      </c>
      <c r="D290" s="20">
        <v>1.798519589E9</v>
      </c>
      <c r="E290" s="20">
        <v>788025.0</v>
      </c>
      <c r="F290" s="20">
        <v>11593.0</v>
      </c>
      <c r="G290" s="20">
        <v>11593.0</v>
      </c>
      <c r="H290" s="20">
        <v>92275.0</v>
      </c>
      <c r="I290" s="20">
        <v>427.0</v>
      </c>
      <c r="J290" s="59">
        <f t="shared" si="8"/>
        <v>5.955503513</v>
      </c>
      <c r="K290" s="60"/>
    </row>
    <row r="291">
      <c r="A291" s="20">
        <v>32128.0</v>
      </c>
      <c r="B291" s="20">
        <v>512.0</v>
      </c>
      <c r="C291" s="20">
        <v>16.0</v>
      </c>
      <c r="D291" s="20">
        <v>5.772578926E9</v>
      </c>
      <c r="E291" s="20">
        <v>2536059.0</v>
      </c>
      <c r="F291" s="20">
        <v>31005.0</v>
      </c>
      <c r="G291" s="20">
        <v>31005.0</v>
      </c>
      <c r="H291" s="20">
        <v>92247.0</v>
      </c>
      <c r="I291" s="20">
        <v>561.0</v>
      </c>
      <c r="J291" s="59">
        <f t="shared" si="8"/>
        <v>4.946524064</v>
      </c>
      <c r="K291" s="60"/>
    </row>
    <row r="292">
      <c r="A292" s="20">
        <v>32128.0</v>
      </c>
      <c r="B292" s="20">
        <v>512.0</v>
      </c>
      <c r="C292" s="20">
        <v>32.0</v>
      </c>
      <c r="D292" s="20">
        <v>5.776967063E9</v>
      </c>
      <c r="E292" s="20">
        <v>2588204.0</v>
      </c>
      <c r="F292" s="20">
        <v>45301.0</v>
      </c>
      <c r="G292" s="20">
        <v>45301.0</v>
      </c>
      <c r="H292" s="20">
        <v>92266.0</v>
      </c>
      <c r="I292" s="20">
        <v>696.0</v>
      </c>
      <c r="J292" s="59">
        <f t="shared" si="8"/>
        <v>3.804597701</v>
      </c>
      <c r="K292" s="60"/>
    </row>
    <row r="293">
      <c r="A293" s="20">
        <v>32128.0</v>
      </c>
      <c r="B293" s="20">
        <v>512.0</v>
      </c>
      <c r="C293" s="20">
        <v>64.0</v>
      </c>
      <c r="D293" s="20">
        <v>5.761740414E9</v>
      </c>
      <c r="E293" s="20">
        <v>2581540.0</v>
      </c>
      <c r="F293" s="20">
        <v>35042.0</v>
      </c>
      <c r="G293" s="20">
        <v>35042.0</v>
      </c>
      <c r="H293" s="20">
        <v>92265.0</v>
      </c>
      <c r="I293" s="20">
        <v>519.0</v>
      </c>
      <c r="J293" s="59">
        <f t="shared" si="8"/>
        <v>5.385356455</v>
      </c>
      <c r="K293" s="60"/>
    </row>
    <row r="294">
      <c r="A294" s="20">
        <v>50000.0</v>
      </c>
      <c r="B294" s="20">
        <v>512.0</v>
      </c>
      <c r="C294" s="20">
        <v>16.0</v>
      </c>
      <c r="D294" s="20">
        <v>8.997743489E9</v>
      </c>
      <c r="E294" s="20">
        <v>3999639.0</v>
      </c>
      <c r="F294" s="20">
        <v>30528.0</v>
      </c>
      <c r="G294" s="20">
        <v>30528.0</v>
      </c>
      <c r="H294" s="20">
        <v>92274.0</v>
      </c>
      <c r="I294" s="20">
        <v>649.0</v>
      </c>
      <c r="J294" s="59">
        <f t="shared" si="8"/>
        <v>4.338983051</v>
      </c>
      <c r="K294" s="60"/>
    </row>
    <row r="295">
      <c r="A295" s="20">
        <v>50000.0</v>
      </c>
      <c r="B295" s="20">
        <v>512.0</v>
      </c>
      <c r="C295" s="20">
        <v>32.0</v>
      </c>
      <c r="D295" s="20">
        <v>8.974966992E9</v>
      </c>
      <c r="E295" s="20">
        <v>3840999.0</v>
      </c>
      <c r="F295" s="20">
        <v>62547.0</v>
      </c>
      <c r="G295" s="20">
        <v>62547.0</v>
      </c>
      <c r="H295" s="20">
        <v>92252.0</v>
      </c>
      <c r="I295" s="20">
        <v>553.0</v>
      </c>
      <c r="J295" s="59">
        <f t="shared" si="8"/>
        <v>5.826401447</v>
      </c>
      <c r="K295" s="60"/>
    </row>
    <row r="296">
      <c r="A296" s="20">
        <v>50000.0</v>
      </c>
      <c r="B296" s="20">
        <v>512.0</v>
      </c>
      <c r="C296" s="20">
        <v>64.0</v>
      </c>
      <c r="D296" s="20">
        <v>8.985650107E9</v>
      </c>
      <c r="E296" s="20">
        <v>3980353.0</v>
      </c>
      <c r="F296" s="20">
        <v>58571.0</v>
      </c>
      <c r="G296" s="20">
        <v>58571.0</v>
      </c>
      <c r="H296" s="20">
        <v>92272.0</v>
      </c>
      <c r="I296" s="20">
        <v>525.0</v>
      </c>
      <c r="J296" s="59">
        <f t="shared" si="8"/>
        <v>5.902857143</v>
      </c>
      <c r="K296" s="60"/>
    </row>
    <row r="297">
      <c r="A297" s="20">
        <v>100000.0</v>
      </c>
      <c r="B297" s="20">
        <v>512.0</v>
      </c>
      <c r="C297" s="20">
        <v>16.0</v>
      </c>
      <c r="D297" s="20">
        <v>1.7960175836E10</v>
      </c>
      <c r="E297" s="20">
        <v>7942683.0</v>
      </c>
      <c r="F297" s="20">
        <v>99201.0</v>
      </c>
      <c r="G297" s="20">
        <v>99201.0</v>
      </c>
      <c r="H297" s="20">
        <v>92240.0</v>
      </c>
      <c r="I297" s="20">
        <v>480.0</v>
      </c>
      <c r="J297" s="59">
        <f t="shared" si="8"/>
        <v>6.520833333</v>
      </c>
      <c r="K297" s="60"/>
    </row>
    <row r="298">
      <c r="A298" s="20">
        <v>100000.0</v>
      </c>
      <c r="B298" s="20">
        <v>512.0</v>
      </c>
      <c r="C298" s="20">
        <v>32.0</v>
      </c>
      <c r="D298" s="20">
        <v>1.7956573413E10</v>
      </c>
      <c r="E298" s="20">
        <v>7406523.0</v>
      </c>
      <c r="F298" s="20">
        <v>101593.0</v>
      </c>
      <c r="G298" s="20">
        <v>101593.0</v>
      </c>
      <c r="H298" s="20">
        <v>92250.0</v>
      </c>
      <c r="I298" s="20">
        <v>570.0</v>
      </c>
      <c r="J298" s="59">
        <f t="shared" si="8"/>
        <v>6.075438596</v>
      </c>
      <c r="K298" s="60"/>
    </row>
    <row r="299">
      <c r="A299" s="20">
        <v>100000.0</v>
      </c>
      <c r="B299" s="20">
        <v>512.0</v>
      </c>
      <c r="C299" s="20">
        <v>64.0</v>
      </c>
      <c r="D299" s="20">
        <v>1.7950132238E10</v>
      </c>
      <c r="E299" s="20">
        <v>7452401.0</v>
      </c>
      <c r="F299" s="20">
        <v>104019.0</v>
      </c>
      <c r="G299" s="20">
        <v>104019.0</v>
      </c>
      <c r="H299" s="20">
        <v>92243.0</v>
      </c>
      <c r="I299" s="20">
        <v>489.0</v>
      </c>
      <c r="J299" s="59">
        <f t="shared" si="8"/>
        <v>6.278118609</v>
      </c>
      <c r="K299" s="60"/>
    </row>
    <row r="300">
      <c r="A300" s="20">
        <v>10000.0</v>
      </c>
      <c r="B300" s="20">
        <v>768.0</v>
      </c>
      <c r="C300" s="20">
        <v>16.0</v>
      </c>
      <c r="D300" s="20">
        <v>2.696415857E9</v>
      </c>
      <c r="E300" s="20">
        <v>1169982.0</v>
      </c>
      <c r="F300" s="20">
        <v>24428.0</v>
      </c>
      <c r="G300" s="20">
        <v>24428.0</v>
      </c>
      <c r="H300" s="20">
        <v>138383.0</v>
      </c>
      <c r="I300" s="20">
        <v>627.0</v>
      </c>
      <c r="J300" s="59">
        <f t="shared" si="8"/>
        <v>6.385964912</v>
      </c>
      <c r="K300" s="60"/>
    </row>
    <row r="301">
      <c r="A301" s="20">
        <v>10000.0</v>
      </c>
      <c r="B301" s="20">
        <v>768.0</v>
      </c>
      <c r="C301" s="20">
        <v>32.0</v>
      </c>
      <c r="D301" s="20">
        <v>2.696147243E9</v>
      </c>
      <c r="E301" s="20">
        <v>1172941.0</v>
      </c>
      <c r="F301" s="20">
        <v>21993.0</v>
      </c>
      <c r="G301" s="20">
        <v>21993.0</v>
      </c>
      <c r="H301" s="20">
        <v>138362.0</v>
      </c>
      <c r="I301" s="20">
        <v>653.0</v>
      </c>
      <c r="J301" s="59">
        <f t="shared" si="8"/>
        <v>7.182235835</v>
      </c>
      <c r="K301" s="60"/>
    </row>
    <row r="302">
      <c r="A302" s="20">
        <v>10000.0</v>
      </c>
      <c r="B302" s="20">
        <v>768.0</v>
      </c>
      <c r="C302" s="20">
        <v>64.0</v>
      </c>
      <c r="D302" s="20">
        <v>2.696565453E9</v>
      </c>
      <c r="E302" s="20">
        <v>1172025.0</v>
      </c>
      <c r="F302" s="20">
        <v>17056.0</v>
      </c>
      <c r="G302" s="20">
        <v>17056.0</v>
      </c>
      <c r="H302" s="20">
        <v>138374.0</v>
      </c>
      <c r="I302" s="20">
        <v>656.0</v>
      </c>
      <c r="J302" s="59">
        <f t="shared" si="8"/>
        <v>6.670731707</v>
      </c>
      <c r="K302" s="60"/>
    </row>
    <row r="303">
      <c r="A303" s="20">
        <v>32128.0</v>
      </c>
      <c r="B303" s="20">
        <v>768.0</v>
      </c>
      <c r="C303" s="20">
        <v>16.0</v>
      </c>
      <c r="D303" s="20">
        <v>8.657415659E9</v>
      </c>
      <c r="E303" s="20">
        <v>3536928.0</v>
      </c>
      <c r="F303" s="20">
        <v>35439.0</v>
      </c>
      <c r="G303" s="20">
        <v>35439.0</v>
      </c>
      <c r="H303" s="20">
        <v>138376.0</v>
      </c>
      <c r="I303" s="20">
        <v>680.0</v>
      </c>
      <c r="J303" s="59">
        <f t="shared" si="8"/>
        <v>6.529411765</v>
      </c>
      <c r="K303" s="60"/>
    </row>
    <row r="304">
      <c r="A304" s="20">
        <v>32128.0</v>
      </c>
      <c r="B304" s="20">
        <v>768.0</v>
      </c>
      <c r="C304" s="20">
        <v>32.0</v>
      </c>
      <c r="D304" s="20">
        <v>8.659404419E9</v>
      </c>
      <c r="E304" s="20">
        <v>3626947.0</v>
      </c>
      <c r="F304" s="20">
        <v>52127.0</v>
      </c>
      <c r="G304" s="20">
        <v>52127.0</v>
      </c>
      <c r="H304" s="20">
        <v>138358.0</v>
      </c>
      <c r="I304" s="20">
        <v>715.0</v>
      </c>
      <c r="J304" s="59">
        <f t="shared" si="8"/>
        <v>6.243356643</v>
      </c>
      <c r="K304" s="60"/>
    </row>
    <row r="305">
      <c r="A305" s="20">
        <v>32128.0</v>
      </c>
      <c r="B305" s="20">
        <v>768.0</v>
      </c>
      <c r="C305" s="20">
        <v>64.0</v>
      </c>
      <c r="D305" s="20">
        <v>8.662756104E9</v>
      </c>
      <c r="E305" s="20">
        <v>3664600.0</v>
      </c>
      <c r="F305" s="20">
        <v>41023.0</v>
      </c>
      <c r="G305" s="20">
        <v>41023.0</v>
      </c>
      <c r="H305" s="20">
        <v>138374.0</v>
      </c>
      <c r="I305" s="20">
        <v>629.0</v>
      </c>
      <c r="J305" s="59">
        <f t="shared" si="8"/>
        <v>8.402225755</v>
      </c>
      <c r="K305" s="60"/>
    </row>
    <row r="306">
      <c r="A306" s="20">
        <v>50000.0</v>
      </c>
      <c r="B306" s="20">
        <v>768.0</v>
      </c>
      <c r="C306" s="20">
        <v>16.0</v>
      </c>
      <c r="D306" s="20">
        <v>1.3489739147E10</v>
      </c>
      <c r="E306" s="20">
        <v>5431102.0</v>
      </c>
      <c r="F306" s="20">
        <v>30496.0</v>
      </c>
      <c r="G306" s="20">
        <v>30496.0</v>
      </c>
      <c r="H306" s="20">
        <v>138385.0</v>
      </c>
      <c r="I306" s="20">
        <v>718.0</v>
      </c>
      <c r="J306" s="59">
        <f t="shared" si="8"/>
        <v>6.480501393</v>
      </c>
      <c r="K306" s="60"/>
    </row>
    <row r="307">
      <c r="A307" s="20">
        <v>50000.0</v>
      </c>
      <c r="B307" s="20">
        <v>768.0</v>
      </c>
      <c r="C307" s="20">
        <v>32.0</v>
      </c>
      <c r="D307" s="20">
        <v>1.3486896728E10</v>
      </c>
      <c r="E307" s="20">
        <v>5610552.0</v>
      </c>
      <c r="F307" s="20">
        <v>38471.0</v>
      </c>
      <c r="G307" s="20">
        <v>38471.0</v>
      </c>
      <c r="H307" s="20">
        <v>138381.0</v>
      </c>
      <c r="I307" s="20">
        <v>980.0</v>
      </c>
      <c r="J307" s="59">
        <f t="shared" si="8"/>
        <v>4.618367347</v>
      </c>
      <c r="K307" s="60"/>
    </row>
    <row r="308">
      <c r="A308" s="20">
        <v>50000.0</v>
      </c>
      <c r="B308" s="20">
        <v>768.0</v>
      </c>
      <c r="C308" s="20">
        <v>64.0</v>
      </c>
      <c r="D308" s="20">
        <v>1.3480225503E10</v>
      </c>
      <c r="E308" s="20">
        <v>5758947.0</v>
      </c>
      <c r="F308" s="20">
        <v>52167.0</v>
      </c>
      <c r="G308" s="20">
        <v>52167.0</v>
      </c>
      <c r="H308" s="20">
        <v>138390.0</v>
      </c>
      <c r="I308" s="20">
        <v>840.0</v>
      </c>
      <c r="J308" s="59">
        <f t="shared" si="8"/>
        <v>5.398809524</v>
      </c>
      <c r="K308" s="60"/>
    </row>
    <row r="309">
      <c r="A309" s="20">
        <v>100000.0</v>
      </c>
      <c r="B309" s="20">
        <v>768.0</v>
      </c>
      <c r="C309" s="20">
        <v>16.0</v>
      </c>
      <c r="D309" s="20">
        <v>2.6940294912E10</v>
      </c>
      <c r="E309" s="20">
        <v>1.1406484E7</v>
      </c>
      <c r="F309" s="20">
        <v>126502.0</v>
      </c>
      <c r="G309" s="20">
        <v>126502.0</v>
      </c>
      <c r="H309" s="20">
        <v>138413.0</v>
      </c>
      <c r="I309" s="20">
        <v>979.0</v>
      </c>
      <c r="J309" s="59">
        <f t="shared" si="8"/>
        <v>4.126659857</v>
      </c>
      <c r="K309" s="60"/>
    </row>
    <row r="310">
      <c r="A310" s="20">
        <v>100000.0</v>
      </c>
      <c r="B310" s="20">
        <v>768.0</v>
      </c>
      <c r="C310" s="20">
        <v>32.0</v>
      </c>
      <c r="D310" s="20">
        <v>2.6925358447E10</v>
      </c>
      <c r="E310" s="20">
        <v>1.0947772E7</v>
      </c>
      <c r="F310" s="20">
        <v>123079.0</v>
      </c>
      <c r="G310" s="20">
        <v>123079.0</v>
      </c>
      <c r="H310" s="20">
        <v>138369.0</v>
      </c>
      <c r="I310" s="20">
        <v>669.0</v>
      </c>
      <c r="J310" s="59">
        <f t="shared" si="8"/>
        <v>6.050822123</v>
      </c>
      <c r="K310" s="60"/>
    </row>
    <row r="311">
      <c r="A311" s="20">
        <v>100000.0</v>
      </c>
      <c r="B311" s="20">
        <v>768.0</v>
      </c>
      <c r="C311" s="20">
        <v>64.0</v>
      </c>
      <c r="D311" s="20">
        <v>2.6946654481E10</v>
      </c>
      <c r="E311" s="20">
        <v>1.0998822E7</v>
      </c>
      <c r="F311" s="20">
        <v>122174.0</v>
      </c>
      <c r="G311" s="20">
        <v>122174.0</v>
      </c>
      <c r="H311" s="20">
        <v>138405.0</v>
      </c>
      <c r="I311" s="20">
        <v>853.0</v>
      </c>
      <c r="J311" s="59">
        <f t="shared" si="8"/>
        <v>4.773739742</v>
      </c>
      <c r="K311" s="60"/>
    </row>
    <row r="312">
      <c r="A312" s="69"/>
      <c r="B312" s="69"/>
      <c r="C312" s="69"/>
      <c r="D312" s="69"/>
      <c r="E312" s="69"/>
      <c r="F312" s="69"/>
      <c r="G312" s="69"/>
      <c r="H312" s="69"/>
      <c r="I312" s="69"/>
      <c r="J312" s="70"/>
      <c r="K312" s="71"/>
    </row>
    <row r="313">
      <c r="A313" s="20" t="s">
        <v>125</v>
      </c>
      <c r="B313" s="20">
        <v>256.0</v>
      </c>
      <c r="C313" s="20" t="s">
        <v>93</v>
      </c>
      <c r="D313" s="20" t="s">
        <v>115</v>
      </c>
      <c r="E313" s="20" t="s">
        <v>114</v>
      </c>
      <c r="F313" s="20"/>
      <c r="G313" s="20"/>
      <c r="H313" s="20"/>
      <c r="I313" s="20"/>
    </row>
    <row r="314">
      <c r="A314" s="20" t="s">
        <v>107</v>
      </c>
      <c r="B314" s="20" t="s">
        <v>99</v>
      </c>
      <c r="C314" s="20" t="s">
        <v>100</v>
      </c>
      <c r="D314" s="20" t="s">
        <v>109</v>
      </c>
      <c r="E314" s="20" t="s">
        <v>110</v>
      </c>
      <c r="F314" s="20" t="s">
        <v>111</v>
      </c>
      <c r="G314" s="20" t="s">
        <v>112</v>
      </c>
      <c r="H314" s="20" t="s">
        <v>113</v>
      </c>
      <c r="I314" s="20" t="s">
        <v>101</v>
      </c>
      <c r="J314" s="59" t="s">
        <v>146</v>
      </c>
      <c r="K314" s="60"/>
    </row>
    <row r="315">
      <c r="A315" s="20">
        <v>10000.0</v>
      </c>
      <c r="B315" s="20">
        <v>128.0</v>
      </c>
      <c r="C315" s="20">
        <v>16.0</v>
      </c>
      <c r="D315" s="20">
        <v>4.5338668E8</v>
      </c>
      <c r="E315" s="20">
        <v>237518.0</v>
      </c>
      <c r="F315" s="20">
        <v>8152.0</v>
      </c>
      <c r="G315" s="20">
        <v>8152.0</v>
      </c>
      <c r="H315" s="20">
        <v>23052.0</v>
      </c>
      <c r="I315" s="20">
        <v>152.0</v>
      </c>
      <c r="J315" s="59">
        <f t="shared" ref="J315:J362" si="9">I2/I315</f>
        <v>2.598684211</v>
      </c>
      <c r="K315" s="60"/>
    </row>
    <row r="316">
      <c r="A316" s="20">
        <v>10000.0</v>
      </c>
      <c r="B316" s="20">
        <v>128.0</v>
      </c>
      <c r="C316" s="20">
        <v>32.0</v>
      </c>
      <c r="D316" s="20">
        <v>4.54055566E8</v>
      </c>
      <c r="E316" s="20">
        <v>252164.0</v>
      </c>
      <c r="F316" s="20">
        <v>7422.0</v>
      </c>
      <c r="G316" s="20">
        <v>7422.0</v>
      </c>
      <c r="H316" s="20">
        <v>23059.0</v>
      </c>
      <c r="I316" s="20">
        <v>180.0</v>
      </c>
      <c r="J316" s="59">
        <f t="shared" si="9"/>
        <v>3.511111111</v>
      </c>
      <c r="K316" s="60"/>
    </row>
    <row r="317">
      <c r="A317" s="20">
        <v>10000.0</v>
      </c>
      <c r="B317" s="20">
        <v>128.0</v>
      </c>
      <c r="C317" s="20">
        <v>64.0</v>
      </c>
      <c r="D317" s="20">
        <v>4.54019801E8</v>
      </c>
      <c r="E317" s="20">
        <v>235523.0</v>
      </c>
      <c r="F317" s="20">
        <v>7332.0</v>
      </c>
      <c r="G317" s="20">
        <v>7332.0</v>
      </c>
      <c r="H317" s="20">
        <v>23061.0</v>
      </c>
      <c r="I317" s="20">
        <v>145.0</v>
      </c>
      <c r="J317" s="59">
        <f t="shared" si="9"/>
        <v>4.675862069</v>
      </c>
      <c r="K317" s="60"/>
    </row>
    <row r="318">
      <c r="A318" s="20">
        <v>32128.0</v>
      </c>
      <c r="B318" s="20">
        <v>128.0</v>
      </c>
      <c r="C318" s="20">
        <v>16.0</v>
      </c>
      <c r="D318" s="20">
        <v>1.449296311E9</v>
      </c>
      <c r="E318" s="20">
        <v>648369.0</v>
      </c>
      <c r="F318" s="20">
        <v>11608.0</v>
      </c>
      <c r="G318" s="20">
        <v>11608.0</v>
      </c>
      <c r="H318" s="20">
        <v>23060.0</v>
      </c>
      <c r="I318" s="20">
        <v>195.0</v>
      </c>
      <c r="J318" s="59">
        <f t="shared" si="9"/>
        <v>3.482051282</v>
      </c>
      <c r="K318" s="60"/>
    </row>
    <row r="319">
      <c r="A319" s="20">
        <v>32128.0</v>
      </c>
      <c r="B319" s="20">
        <v>128.0</v>
      </c>
      <c r="C319" s="20">
        <v>32.0</v>
      </c>
      <c r="D319" s="20">
        <v>1.446236311E9</v>
      </c>
      <c r="E319" s="20">
        <v>642347.0</v>
      </c>
      <c r="F319" s="20">
        <v>15582.0</v>
      </c>
      <c r="G319" s="20">
        <v>15582.0</v>
      </c>
      <c r="H319" s="20">
        <v>23069.0</v>
      </c>
      <c r="I319" s="20">
        <v>210.0</v>
      </c>
      <c r="J319" s="59">
        <f t="shared" si="9"/>
        <v>4.219047619</v>
      </c>
      <c r="K319" s="60"/>
    </row>
    <row r="320">
      <c r="A320" s="20">
        <v>32128.0</v>
      </c>
      <c r="B320" s="20">
        <v>128.0</v>
      </c>
      <c r="C320" s="20">
        <v>64.0</v>
      </c>
      <c r="D320" s="20">
        <v>1.446518414E9</v>
      </c>
      <c r="E320" s="20">
        <v>714381.0</v>
      </c>
      <c r="F320" s="20">
        <v>16326.0</v>
      </c>
      <c r="G320" s="20">
        <v>16326.0</v>
      </c>
      <c r="H320" s="20">
        <v>23071.0</v>
      </c>
      <c r="I320" s="20">
        <v>343.0</v>
      </c>
      <c r="J320" s="59">
        <f t="shared" si="9"/>
        <v>2.364431487</v>
      </c>
      <c r="K320" s="60"/>
    </row>
    <row r="321">
      <c r="A321" s="20">
        <v>50000.0</v>
      </c>
      <c r="B321" s="20">
        <v>128.0</v>
      </c>
      <c r="C321" s="20">
        <v>16.0</v>
      </c>
      <c r="D321" s="20">
        <v>2.251622651E9</v>
      </c>
      <c r="E321" s="20">
        <v>994082.0</v>
      </c>
      <c r="F321" s="20">
        <v>13031.0</v>
      </c>
      <c r="G321" s="20">
        <v>13031.0</v>
      </c>
      <c r="H321" s="20">
        <v>23075.0</v>
      </c>
      <c r="I321" s="20">
        <v>369.0</v>
      </c>
      <c r="J321" s="59">
        <f t="shared" si="9"/>
        <v>1.926829268</v>
      </c>
      <c r="K321" s="60"/>
    </row>
    <row r="322">
      <c r="A322" s="20">
        <v>50000.0</v>
      </c>
      <c r="B322" s="20">
        <v>128.0</v>
      </c>
      <c r="C322" s="20">
        <v>32.0</v>
      </c>
      <c r="D322" s="20">
        <v>2.253400052E9</v>
      </c>
      <c r="E322" s="20">
        <v>1061075.0</v>
      </c>
      <c r="F322" s="20">
        <v>17754.0</v>
      </c>
      <c r="G322" s="20">
        <v>17754.0</v>
      </c>
      <c r="H322" s="20">
        <v>23092.0</v>
      </c>
      <c r="I322" s="20">
        <v>411.0</v>
      </c>
      <c r="J322" s="59">
        <f t="shared" si="9"/>
        <v>1.734793187</v>
      </c>
      <c r="K322" s="60"/>
    </row>
    <row r="323">
      <c r="A323" s="20">
        <v>50000.0</v>
      </c>
      <c r="B323" s="20">
        <v>128.0</v>
      </c>
      <c r="C323" s="20">
        <v>64.0</v>
      </c>
      <c r="D323" s="20">
        <v>2.251819708E9</v>
      </c>
      <c r="E323" s="20">
        <v>1007419.0</v>
      </c>
      <c r="F323" s="20">
        <v>15498.0</v>
      </c>
      <c r="G323" s="20">
        <v>15498.0</v>
      </c>
      <c r="H323" s="20">
        <v>23061.0</v>
      </c>
      <c r="I323" s="20">
        <v>209.0</v>
      </c>
      <c r="J323" s="59">
        <f t="shared" si="9"/>
        <v>3.363636364</v>
      </c>
      <c r="K323" s="60"/>
    </row>
    <row r="324">
      <c r="A324" s="20">
        <v>100000.0</v>
      </c>
      <c r="B324" s="20">
        <v>128.0</v>
      </c>
      <c r="C324" s="20">
        <v>16.0</v>
      </c>
      <c r="D324" s="20">
        <v>4.499595766E9</v>
      </c>
      <c r="E324" s="20">
        <v>2010715.0</v>
      </c>
      <c r="F324" s="20">
        <v>25514.0</v>
      </c>
      <c r="G324" s="20">
        <v>25514.0</v>
      </c>
      <c r="H324" s="20">
        <v>23063.0</v>
      </c>
      <c r="I324" s="20">
        <v>309.0</v>
      </c>
      <c r="J324" s="59">
        <f t="shared" si="9"/>
        <v>2.398058252</v>
      </c>
      <c r="K324" s="60"/>
    </row>
    <row r="325">
      <c r="A325" s="20">
        <v>100000.0</v>
      </c>
      <c r="B325" s="20">
        <v>128.0</v>
      </c>
      <c r="C325" s="20">
        <v>32.0</v>
      </c>
      <c r="D325" s="20">
        <v>4.497007936E9</v>
      </c>
      <c r="E325" s="20">
        <v>2003704.0</v>
      </c>
      <c r="F325" s="20">
        <v>26977.0</v>
      </c>
      <c r="G325" s="20">
        <v>26977.0</v>
      </c>
      <c r="H325" s="20">
        <v>23080.0</v>
      </c>
      <c r="I325" s="20">
        <v>308.0</v>
      </c>
      <c r="J325" s="59">
        <f t="shared" si="9"/>
        <v>2.363636364</v>
      </c>
      <c r="K325" s="60"/>
    </row>
    <row r="326">
      <c r="A326" s="20">
        <v>100000.0</v>
      </c>
      <c r="B326" s="20">
        <v>128.0</v>
      </c>
      <c r="C326" s="20">
        <v>64.0</v>
      </c>
      <c r="D326" s="20">
        <v>4.497179774E9</v>
      </c>
      <c r="E326" s="20">
        <v>1975677.0</v>
      </c>
      <c r="F326" s="20">
        <v>29287.0</v>
      </c>
      <c r="G326" s="20">
        <v>29287.0</v>
      </c>
      <c r="H326" s="20">
        <v>23082.0</v>
      </c>
      <c r="I326" s="20">
        <v>299.0</v>
      </c>
      <c r="J326" s="59">
        <f t="shared" si="9"/>
        <v>2.424749164</v>
      </c>
      <c r="K326" s="60"/>
    </row>
    <row r="327">
      <c r="A327" s="20">
        <v>10000.0</v>
      </c>
      <c r="B327" s="20">
        <v>512.0</v>
      </c>
      <c r="C327" s="20">
        <v>16.0</v>
      </c>
      <c r="D327" s="20">
        <v>1.80407937E9</v>
      </c>
      <c r="E327" s="20">
        <v>812050.0</v>
      </c>
      <c r="F327" s="20">
        <v>12954.0</v>
      </c>
      <c r="G327" s="20">
        <v>12954.0</v>
      </c>
      <c r="H327" s="20">
        <v>92256.0</v>
      </c>
      <c r="I327" s="20">
        <v>432.0</v>
      </c>
      <c r="J327" s="59">
        <f t="shared" si="9"/>
        <v>2.756944444</v>
      </c>
      <c r="K327" s="60"/>
    </row>
    <row r="328">
      <c r="A328" s="20">
        <v>10000.0</v>
      </c>
      <c r="B328" s="20">
        <v>512.0</v>
      </c>
      <c r="C328" s="20">
        <v>32.0</v>
      </c>
      <c r="D328" s="20">
        <v>1.805540308E9</v>
      </c>
      <c r="E328" s="20">
        <v>802689.0</v>
      </c>
      <c r="F328" s="20">
        <v>13339.0</v>
      </c>
      <c r="G328" s="20">
        <v>13339.0</v>
      </c>
      <c r="H328" s="20">
        <v>92239.0</v>
      </c>
      <c r="I328" s="20">
        <v>440.0</v>
      </c>
      <c r="J328" s="59">
        <f t="shared" si="9"/>
        <v>2.554545455</v>
      </c>
      <c r="K328" s="60"/>
    </row>
    <row r="329">
      <c r="A329" s="20">
        <v>10000.0</v>
      </c>
      <c r="B329" s="20">
        <v>512.0</v>
      </c>
      <c r="C329" s="20">
        <v>64.0</v>
      </c>
      <c r="D329" s="20">
        <v>1.806332776E9</v>
      </c>
      <c r="E329" s="20">
        <v>861922.0</v>
      </c>
      <c r="F329" s="20">
        <v>16180.0</v>
      </c>
      <c r="G329" s="20">
        <v>16180.0</v>
      </c>
      <c r="H329" s="20">
        <v>92308.0</v>
      </c>
      <c r="I329" s="20">
        <v>690.0</v>
      </c>
      <c r="J329" s="59">
        <f t="shared" si="9"/>
        <v>1.731884058</v>
      </c>
      <c r="K329" s="60"/>
    </row>
    <row r="330">
      <c r="A330" s="20">
        <v>32128.0</v>
      </c>
      <c r="B330" s="20">
        <v>512.0</v>
      </c>
      <c r="C330" s="20">
        <v>16.0</v>
      </c>
      <c r="D330" s="20">
        <v>5.782834309E9</v>
      </c>
      <c r="E330" s="20">
        <v>2450594.0</v>
      </c>
      <c r="F330" s="20">
        <v>24985.0</v>
      </c>
      <c r="G330" s="20">
        <v>24985.0</v>
      </c>
      <c r="H330" s="20">
        <v>92246.0</v>
      </c>
      <c r="I330" s="20">
        <v>585.0</v>
      </c>
      <c r="J330" s="59">
        <f t="shared" si="9"/>
        <v>2.328205128</v>
      </c>
      <c r="K330" s="60"/>
    </row>
    <row r="331">
      <c r="A331" s="20">
        <v>32128.0</v>
      </c>
      <c r="B331" s="20">
        <v>512.0</v>
      </c>
      <c r="C331" s="20">
        <v>32.0</v>
      </c>
      <c r="D331" s="20">
        <v>5.769107285E9</v>
      </c>
      <c r="E331" s="20">
        <v>2665027.0</v>
      </c>
      <c r="F331" s="20">
        <v>23804.0</v>
      </c>
      <c r="G331" s="20">
        <v>23804.0</v>
      </c>
      <c r="H331" s="20">
        <v>92280.0</v>
      </c>
      <c r="I331" s="20">
        <v>683.0</v>
      </c>
      <c r="J331" s="59">
        <f t="shared" si="9"/>
        <v>2.338213763</v>
      </c>
      <c r="K331" s="60"/>
    </row>
    <row r="332">
      <c r="A332" s="20">
        <v>32128.0</v>
      </c>
      <c r="B332" s="20">
        <v>512.0</v>
      </c>
      <c r="C332" s="20">
        <v>64.0</v>
      </c>
      <c r="D332" s="20">
        <v>5.770071196E9</v>
      </c>
      <c r="E332" s="20">
        <v>2474877.0</v>
      </c>
      <c r="F332" s="20">
        <v>23321.0</v>
      </c>
      <c r="G332" s="20">
        <v>23321.0</v>
      </c>
      <c r="H332" s="20">
        <v>92250.0</v>
      </c>
      <c r="I332" s="20">
        <v>679.0</v>
      </c>
      <c r="J332" s="59">
        <f t="shared" si="9"/>
        <v>2.011782032</v>
      </c>
      <c r="K332" s="60"/>
    </row>
    <row r="333">
      <c r="A333" s="20">
        <v>50000.0</v>
      </c>
      <c r="B333" s="20">
        <v>512.0</v>
      </c>
      <c r="C333" s="20">
        <v>16.0</v>
      </c>
      <c r="D333" s="20">
        <v>8.976709792E9</v>
      </c>
      <c r="E333" s="20">
        <v>3880331.0</v>
      </c>
      <c r="F333" s="20">
        <v>28776.0</v>
      </c>
      <c r="G333" s="20">
        <v>28776.0</v>
      </c>
      <c r="H333" s="20">
        <v>92256.0</v>
      </c>
      <c r="I333" s="20">
        <v>536.0</v>
      </c>
      <c r="J333" s="59">
        <f t="shared" si="9"/>
        <v>2.651119403</v>
      </c>
      <c r="K333" s="60"/>
    </row>
    <row r="334">
      <c r="A334" s="20">
        <v>50000.0</v>
      </c>
      <c r="B334" s="20">
        <v>512.0</v>
      </c>
      <c r="C334" s="20">
        <v>32.0</v>
      </c>
      <c r="D334" s="20">
        <v>8.975826574E9</v>
      </c>
      <c r="E334" s="20">
        <v>3977477.0</v>
      </c>
      <c r="F334" s="20">
        <v>42364.0</v>
      </c>
      <c r="G334" s="20">
        <v>42364.0</v>
      </c>
      <c r="H334" s="20">
        <v>92262.0</v>
      </c>
      <c r="I334" s="20">
        <v>589.0</v>
      </c>
      <c r="J334" s="59">
        <f t="shared" si="9"/>
        <v>2.797962649</v>
      </c>
      <c r="K334" s="60"/>
    </row>
    <row r="335">
      <c r="A335" s="20">
        <v>50000.0</v>
      </c>
      <c r="B335" s="20">
        <v>512.0</v>
      </c>
      <c r="C335" s="20">
        <v>64.0</v>
      </c>
      <c r="D335" s="20">
        <v>8.978284425E9</v>
      </c>
      <c r="E335" s="20">
        <v>3860130.0</v>
      </c>
      <c r="F335" s="20">
        <v>48080.0</v>
      </c>
      <c r="G335" s="20">
        <v>48080.0</v>
      </c>
      <c r="H335" s="20">
        <v>92252.0</v>
      </c>
      <c r="I335" s="20">
        <v>531.0</v>
      </c>
      <c r="J335" s="59">
        <f t="shared" si="9"/>
        <v>3.129943503</v>
      </c>
      <c r="K335" s="60"/>
    </row>
    <row r="336">
      <c r="A336" s="20">
        <v>100000.0</v>
      </c>
      <c r="B336" s="20">
        <v>512.0</v>
      </c>
      <c r="C336" s="20">
        <v>16.0</v>
      </c>
      <c r="D336" s="20">
        <v>1.7979253038E10</v>
      </c>
      <c r="E336" s="20">
        <v>7618124.0</v>
      </c>
      <c r="F336" s="20">
        <v>64310.0</v>
      </c>
      <c r="G336" s="20">
        <v>64310.0</v>
      </c>
      <c r="H336" s="20">
        <v>92275.0</v>
      </c>
      <c r="I336" s="20">
        <v>513.0</v>
      </c>
      <c r="J336" s="59">
        <f t="shared" si="9"/>
        <v>3.520467836</v>
      </c>
      <c r="K336" s="60"/>
    </row>
    <row r="337">
      <c r="A337" s="20">
        <v>100000.0</v>
      </c>
      <c r="B337" s="20">
        <v>512.0</v>
      </c>
      <c r="C337" s="20">
        <v>32.0</v>
      </c>
      <c r="D337" s="20">
        <v>1.7938946893E10</v>
      </c>
      <c r="E337" s="20">
        <v>7340136.0</v>
      </c>
      <c r="F337" s="20">
        <v>58708.0</v>
      </c>
      <c r="G337" s="20">
        <v>58708.0</v>
      </c>
      <c r="H337" s="20">
        <v>92257.0</v>
      </c>
      <c r="I337" s="20">
        <v>481.0</v>
      </c>
      <c r="J337" s="59">
        <f t="shared" si="9"/>
        <v>3.582120582</v>
      </c>
      <c r="K337" s="60"/>
    </row>
    <row r="338">
      <c r="A338" s="20">
        <v>100000.0</v>
      </c>
      <c r="B338" s="20">
        <v>512.0</v>
      </c>
      <c r="C338" s="20">
        <v>64.0</v>
      </c>
      <c r="D338" s="20">
        <v>1.7972661148E10</v>
      </c>
      <c r="E338" s="20">
        <v>7237179.0</v>
      </c>
      <c r="F338" s="20">
        <v>58534.0</v>
      </c>
      <c r="G338" s="20">
        <v>58534.0</v>
      </c>
      <c r="H338" s="20">
        <v>92236.0</v>
      </c>
      <c r="I338" s="20">
        <v>486.0</v>
      </c>
      <c r="J338" s="59">
        <f t="shared" si="9"/>
        <v>3.300411523</v>
      </c>
      <c r="K338" s="60"/>
    </row>
    <row r="339">
      <c r="A339" s="20">
        <v>10000.0</v>
      </c>
      <c r="B339" s="20">
        <v>256.0</v>
      </c>
      <c r="C339" s="20">
        <v>16.0</v>
      </c>
      <c r="D339" s="20">
        <v>9.02441286E8</v>
      </c>
      <c r="E339" s="20">
        <v>436362.0</v>
      </c>
      <c r="F339" s="20">
        <v>14868.0</v>
      </c>
      <c r="G339" s="20">
        <v>14868.0</v>
      </c>
      <c r="H339" s="20">
        <v>46127.0</v>
      </c>
      <c r="I339" s="20">
        <v>250.0</v>
      </c>
      <c r="J339" s="59">
        <f t="shared" si="9"/>
        <v>10.272</v>
      </c>
      <c r="K339" s="60"/>
    </row>
    <row r="340">
      <c r="A340" s="20">
        <v>10000.0</v>
      </c>
      <c r="B340" s="20">
        <v>256.0</v>
      </c>
      <c r="C340" s="20">
        <v>32.0</v>
      </c>
      <c r="D340" s="20">
        <v>9.02231256E8</v>
      </c>
      <c r="E340" s="20">
        <v>431098.0</v>
      </c>
      <c r="F340" s="20">
        <v>11632.0</v>
      </c>
      <c r="G340" s="20">
        <v>11632.0</v>
      </c>
      <c r="H340" s="20">
        <v>46119.0</v>
      </c>
      <c r="I340" s="20">
        <v>261.0</v>
      </c>
      <c r="J340" s="59">
        <f t="shared" si="9"/>
        <v>9.789272031</v>
      </c>
      <c r="K340" s="60"/>
    </row>
    <row r="341">
      <c r="A341" s="20">
        <v>10000.0</v>
      </c>
      <c r="B341" s="20">
        <v>256.0</v>
      </c>
      <c r="C341" s="20">
        <v>64.0</v>
      </c>
      <c r="D341" s="20">
        <v>9.01679771E8</v>
      </c>
      <c r="E341" s="20">
        <v>424945.0</v>
      </c>
      <c r="F341" s="20">
        <v>10266.0</v>
      </c>
      <c r="G341" s="20">
        <v>10266.0</v>
      </c>
      <c r="H341" s="20">
        <v>46136.0</v>
      </c>
      <c r="I341" s="20">
        <v>261.0</v>
      </c>
      <c r="J341" s="59">
        <f t="shared" si="9"/>
        <v>9.743295019</v>
      </c>
      <c r="K341" s="60"/>
    </row>
    <row r="342">
      <c r="A342" s="20">
        <v>32128.0</v>
      </c>
      <c r="B342" s="20">
        <v>256.0</v>
      </c>
      <c r="C342" s="20">
        <v>16.0</v>
      </c>
      <c r="D342" s="20">
        <v>2.889379972E9</v>
      </c>
      <c r="E342" s="20">
        <v>1273555.0</v>
      </c>
      <c r="F342" s="20">
        <v>28043.0</v>
      </c>
      <c r="G342" s="20">
        <v>28043.0</v>
      </c>
      <c r="H342" s="20">
        <v>46130.0</v>
      </c>
      <c r="I342" s="20">
        <v>404.0</v>
      </c>
      <c r="J342" s="59">
        <f t="shared" si="9"/>
        <v>6.868811881</v>
      </c>
      <c r="K342" s="60"/>
    </row>
    <row r="343">
      <c r="A343" s="20">
        <v>32128.0</v>
      </c>
      <c r="B343" s="20">
        <v>256.0</v>
      </c>
      <c r="C343" s="20">
        <v>32.0</v>
      </c>
      <c r="D343" s="20">
        <v>2.890913819E9</v>
      </c>
      <c r="E343" s="20">
        <v>1325320.0</v>
      </c>
      <c r="F343" s="20">
        <v>33784.0</v>
      </c>
      <c r="G343" s="20">
        <v>33784.0</v>
      </c>
      <c r="H343" s="20">
        <v>46218.0</v>
      </c>
      <c r="I343" s="20">
        <v>528.0</v>
      </c>
      <c r="J343" s="59">
        <f t="shared" si="9"/>
        <v>5.015151515</v>
      </c>
      <c r="K343" s="60"/>
    </row>
    <row r="344">
      <c r="A344" s="20">
        <v>32128.0</v>
      </c>
      <c r="B344" s="20">
        <v>256.0</v>
      </c>
      <c r="C344" s="20">
        <v>64.0</v>
      </c>
      <c r="D344" s="20">
        <v>2.893681318E9</v>
      </c>
      <c r="E344" s="20">
        <v>1372445.0</v>
      </c>
      <c r="F344" s="20">
        <v>30741.0</v>
      </c>
      <c r="G344" s="20">
        <v>30741.0</v>
      </c>
      <c r="H344" s="20">
        <v>46119.0</v>
      </c>
      <c r="I344" s="20">
        <v>448.0</v>
      </c>
      <c r="J344" s="59">
        <f t="shared" si="9"/>
        <v>6.238839286</v>
      </c>
      <c r="K344" s="60"/>
    </row>
    <row r="345">
      <c r="A345" s="20">
        <v>50000.0</v>
      </c>
      <c r="B345" s="20">
        <v>256.0</v>
      </c>
      <c r="C345" s="20">
        <v>16.0</v>
      </c>
      <c r="D345" s="20">
        <v>4.495291047E9</v>
      </c>
      <c r="E345" s="20">
        <v>2056729.0</v>
      </c>
      <c r="F345" s="20">
        <v>37321.0</v>
      </c>
      <c r="G345" s="20">
        <v>37321.0</v>
      </c>
      <c r="H345" s="20">
        <v>46205.0</v>
      </c>
      <c r="I345" s="20">
        <v>525.0</v>
      </c>
      <c r="J345" s="59">
        <f t="shared" si="9"/>
        <v>5.363809524</v>
      </c>
      <c r="K345" s="60"/>
    </row>
    <row r="346">
      <c r="A346" s="20">
        <v>50000.0</v>
      </c>
      <c r="B346" s="20">
        <v>256.0</v>
      </c>
      <c r="C346" s="20">
        <v>32.0</v>
      </c>
      <c r="D346" s="20">
        <v>4.488734573E9</v>
      </c>
      <c r="E346" s="20">
        <v>1948062.0</v>
      </c>
      <c r="F346" s="20">
        <v>39396.0</v>
      </c>
      <c r="G346" s="20">
        <v>39396.0</v>
      </c>
      <c r="H346" s="20">
        <v>46120.0</v>
      </c>
      <c r="I346" s="20">
        <v>340.0</v>
      </c>
      <c r="J346" s="59">
        <f t="shared" si="9"/>
        <v>9.476470588</v>
      </c>
      <c r="K346" s="60"/>
    </row>
    <row r="347">
      <c r="A347" s="20">
        <v>50000.0</v>
      </c>
      <c r="B347" s="20">
        <v>256.0</v>
      </c>
      <c r="C347" s="20">
        <v>64.0</v>
      </c>
      <c r="D347" s="20">
        <v>4.492976489E9</v>
      </c>
      <c r="E347" s="20">
        <v>2095188.0</v>
      </c>
      <c r="F347" s="20">
        <v>45223.0</v>
      </c>
      <c r="G347" s="20">
        <v>45223.0</v>
      </c>
      <c r="H347" s="20">
        <v>46133.0</v>
      </c>
      <c r="I347" s="20">
        <v>383.0</v>
      </c>
      <c r="J347" s="59">
        <f t="shared" si="9"/>
        <v>8.091383812</v>
      </c>
      <c r="K347" s="60"/>
    </row>
    <row r="348">
      <c r="A348" s="20">
        <v>100000.0</v>
      </c>
      <c r="B348" s="20">
        <v>256.0</v>
      </c>
      <c r="C348" s="20">
        <v>16.0</v>
      </c>
      <c r="D348" s="20">
        <v>8.983255704E9</v>
      </c>
      <c r="E348" s="20">
        <v>3834190.0</v>
      </c>
      <c r="F348" s="20">
        <v>48352.0</v>
      </c>
      <c r="G348" s="20">
        <v>48352.0</v>
      </c>
      <c r="H348" s="20">
        <v>46130.0</v>
      </c>
      <c r="I348" s="20">
        <v>323.0</v>
      </c>
      <c r="J348" s="59">
        <f t="shared" si="9"/>
        <v>9.690402477</v>
      </c>
      <c r="K348" s="60"/>
    </row>
    <row r="349">
      <c r="A349" s="20">
        <v>100000.0</v>
      </c>
      <c r="B349" s="20">
        <v>256.0</v>
      </c>
      <c r="C349" s="20">
        <v>32.0</v>
      </c>
      <c r="D349" s="20">
        <v>8.980929882E9</v>
      </c>
      <c r="E349" s="20">
        <v>3745400.0</v>
      </c>
      <c r="F349" s="20">
        <v>46626.0</v>
      </c>
      <c r="G349" s="20">
        <v>46626.0</v>
      </c>
      <c r="H349" s="20">
        <v>46129.0</v>
      </c>
      <c r="I349" s="20">
        <v>330.0</v>
      </c>
      <c r="J349" s="59">
        <f t="shared" si="9"/>
        <v>10.49393939</v>
      </c>
      <c r="K349" s="60"/>
    </row>
    <row r="350">
      <c r="A350" s="20">
        <v>100000.0</v>
      </c>
      <c r="B350" s="20">
        <v>256.0</v>
      </c>
      <c r="C350" s="20">
        <v>64.0</v>
      </c>
      <c r="D350" s="20">
        <v>8.977372905E9</v>
      </c>
      <c r="E350" s="20">
        <v>3695142.0</v>
      </c>
      <c r="F350" s="20">
        <v>49665.0</v>
      </c>
      <c r="G350" s="20">
        <v>49665.0</v>
      </c>
      <c r="H350" s="20">
        <v>46125.0</v>
      </c>
      <c r="I350" s="20">
        <v>321.0</v>
      </c>
      <c r="J350" s="59">
        <f t="shared" si="9"/>
        <v>9.563862928</v>
      </c>
      <c r="K350" s="60"/>
    </row>
    <row r="351">
      <c r="A351" s="20">
        <v>10000.0</v>
      </c>
      <c r="B351" s="20">
        <v>768.0</v>
      </c>
      <c r="C351" s="20">
        <v>16.0</v>
      </c>
      <c r="D351" s="20">
        <v>2.699749813E9</v>
      </c>
      <c r="E351" s="20">
        <v>1182689.0</v>
      </c>
      <c r="F351" s="20">
        <v>16563.0</v>
      </c>
      <c r="G351" s="20">
        <v>16563.0</v>
      </c>
      <c r="H351" s="20">
        <v>138354.0</v>
      </c>
      <c r="I351" s="20">
        <v>614.0</v>
      </c>
      <c r="J351" s="59">
        <f t="shared" si="9"/>
        <v>6.521172638</v>
      </c>
      <c r="K351" s="60"/>
    </row>
    <row r="352">
      <c r="A352" s="20">
        <v>10000.0</v>
      </c>
      <c r="B352" s="20">
        <v>768.0</v>
      </c>
      <c r="C352" s="20">
        <v>32.0</v>
      </c>
      <c r="D352" s="20">
        <v>2.699573696E9</v>
      </c>
      <c r="E352" s="20">
        <v>1181807.0</v>
      </c>
      <c r="F352" s="20">
        <v>17423.0</v>
      </c>
      <c r="G352" s="20">
        <v>17423.0</v>
      </c>
      <c r="H352" s="20">
        <v>138335.0</v>
      </c>
      <c r="I352" s="20">
        <v>625.0</v>
      </c>
      <c r="J352" s="59">
        <f t="shared" si="9"/>
        <v>7.504</v>
      </c>
      <c r="K352" s="60"/>
    </row>
    <row r="353">
      <c r="A353" s="20">
        <v>10000.0</v>
      </c>
      <c r="B353" s="20">
        <v>768.0</v>
      </c>
      <c r="C353" s="20">
        <v>64.0</v>
      </c>
      <c r="D353" s="20">
        <v>2.700387099E9</v>
      </c>
      <c r="E353" s="20">
        <v>1208682.0</v>
      </c>
      <c r="F353" s="20">
        <v>15968.0</v>
      </c>
      <c r="G353" s="20">
        <v>15968.0</v>
      </c>
      <c r="H353" s="20">
        <v>138400.0</v>
      </c>
      <c r="I353" s="20">
        <v>601.0</v>
      </c>
      <c r="J353" s="59">
        <f t="shared" si="9"/>
        <v>7.281198003</v>
      </c>
      <c r="K353" s="60"/>
    </row>
    <row r="354">
      <c r="A354" s="20">
        <v>32128.0</v>
      </c>
      <c r="B354" s="20">
        <v>768.0</v>
      </c>
      <c r="C354" s="20">
        <v>16.0</v>
      </c>
      <c r="D354" s="20">
        <v>8.649644497E9</v>
      </c>
      <c r="E354" s="20">
        <v>3604250.0</v>
      </c>
      <c r="F354" s="20">
        <v>21458.0</v>
      </c>
      <c r="G354" s="20">
        <v>21458.0</v>
      </c>
      <c r="H354" s="20">
        <v>138399.0</v>
      </c>
      <c r="I354" s="20">
        <v>655.0</v>
      </c>
      <c r="J354" s="59">
        <f t="shared" si="9"/>
        <v>6.778625954</v>
      </c>
      <c r="K354" s="60"/>
    </row>
    <row r="355">
      <c r="A355" s="20">
        <v>32128.0</v>
      </c>
      <c r="B355" s="20">
        <v>768.0</v>
      </c>
      <c r="C355" s="20">
        <v>32.0</v>
      </c>
      <c r="D355" s="20">
        <v>8.651270607E9</v>
      </c>
      <c r="E355" s="20">
        <v>3610209.0</v>
      </c>
      <c r="F355" s="20">
        <v>27439.0</v>
      </c>
      <c r="G355" s="20">
        <v>27439.0</v>
      </c>
      <c r="H355" s="20">
        <v>138419.0</v>
      </c>
      <c r="I355" s="20">
        <v>852.0</v>
      </c>
      <c r="J355" s="59">
        <f t="shared" si="9"/>
        <v>5.23943662</v>
      </c>
      <c r="K355" s="60"/>
    </row>
    <row r="356">
      <c r="A356" s="20">
        <v>32128.0</v>
      </c>
      <c r="B356" s="20">
        <v>768.0</v>
      </c>
      <c r="C356" s="20">
        <v>64.0</v>
      </c>
      <c r="D356" s="20">
        <v>8.671981698E9</v>
      </c>
      <c r="E356" s="20">
        <v>3723160.0</v>
      </c>
      <c r="F356" s="20">
        <v>32463.0</v>
      </c>
      <c r="G356" s="20">
        <v>32463.0</v>
      </c>
      <c r="H356" s="20">
        <v>138367.0</v>
      </c>
      <c r="I356" s="20">
        <v>675.0</v>
      </c>
      <c r="J356" s="59">
        <f t="shared" si="9"/>
        <v>7.82962963</v>
      </c>
      <c r="K356" s="60"/>
    </row>
    <row r="357">
      <c r="A357" s="20">
        <v>50000.0</v>
      </c>
      <c r="B357" s="20">
        <v>768.0</v>
      </c>
      <c r="C357" s="20">
        <v>16.0</v>
      </c>
      <c r="D357" s="20">
        <v>1.3489066584E10</v>
      </c>
      <c r="E357" s="20">
        <v>5770244.0</v>
      </c>
      <c r="F357" s="20">
        <v>50385.0</v>
      </c>
      <c r="G357" s="20">
        <v>50385.0</v>
      </c>
      <c r="H357" s="20">
        <v>138393.0</v>
      </c>
      <c r="I357" s="20">
        <v>898.0</v>
      </c>
      <c r="J357" s="59">
        <f t="shared" si="9"/>
        <v>5.181514477</v>
      </c>
      <c r="K357" s="60"/>
    </row>
    <row r="358">
      <c r="A358" s="20">
        <v>50000.0</v>
      </c>
      <c r="B358" s="20">
        <v>768.0</v>
      </c>
      <c r="C358" s="20">
        <v>32.0</v>
      </c>
      <c r="D358" s="20">
        <v>1.3484599046E10</v>
      </c>
      <c r="E358" s="20">
        <v>5685975.0</v>
      </c>
      <c r="F358" s="20">
        <v>51673.0</v>
      </c>
      <c r="G358" s="20">
        <v>51673.0</v>
      </c>
      <c r="H358" s="20">
        <v>138368.0</v>
      </c>
      <c r="I358" s="20">
        <v>669.0</v>
      </c>
      <c r="J358" s="59">
        <f t="shared" si="9"/>
        <v>6.765321375</v>
      </c>
      <c r="K358" s="60"/>
    </row>
    <row r="359">
      <c r="A359" s="20">
        <v>50000.0</v>
      </c>
      <c r="B359" s="20">
        <v>768.0</v>
      </c>
      <c r="C359" s="20">
        <v>64.0</v>
      </c>
      <c r="D359" s="20">
        <v>1.3489125973E10</v>
      </c>
      <c r="E359" s="20">
        <v>5647483.0</v>
      </c>
      <c r="F359" s="20">
        <v>52009.0</v>
      </c>
      <c r="G359" s="20">
        <v>52009.0</v>
      </c>
      <c r="H359" s="20">
        <v>138354.0</v>
      </c>
      <c r="I359" s="20">
        <v>652.0</v>
      </c>
      <c r="J359" s="59">
        <f t="shared" si="9"/>
        <v>6.955521472</v>
      </c>
      <c r="K359" s="60"/>
    </row>
    <row r="360">
      <c r="A360" s="20">
        <v>100000.0</v>
      </c>
      <c r="B360" s="20">
        <v>768.0</v>
      </c>
      <c r="C360" s="20">
        <v>16.0</v>
      </c>
      <c r="D360" s="20">
        <v>2.6956191294E10</v>
      </c>
      <c r="E360" s="20">
        <v>1.1140772E7</v>
      </c>
      <c r="F360" s="20">
        <v>131985.0</v>
      </c>
      <c r="G360" s="20">
        <v>131985.0</v>
      </c>
      <c r="H360" s="20">
        <v>138371.0</v>
      </c>
      <c r="I360" s="20">
        <v>717.0</v>
      </c>
      <c r="J360" s="59">
        <f t="shared" si="9"/>
        <v>5.634588563</v>
      </c>
      <c r="K360" s="60"/>
    </row>
    <row r="361">
      <c r="A361" s="20">
        <v>100000.0</v>
      </c>
      <c r="B361" s="20">
        <v>768.0</v>
      </c>
      <c r="C361" s="20">
        <v>32.0</v>
      </c>
      <c r="D361" s="20">
        <v>2.6900453863E10</v>
      </c>
      <c r="E361" s="20">
        <v>1.1108176E7</v>
      </c>
      <c r="F361" s="20">
        <v>105391.0</v>
      </c>
      <c r="G361" s="20">
        <v>105391.0</v>
      </c>
      <c r="H361" s="20">
        <v>138366.0</v>
      </c>
      <c r="I361" s="20">
        <v>669.0</v>
      </c>
      <c r="J361" s="59">
        <f t="shared" si="9"/>
        <v>6.050822123</v>
      </c>
      <c r="K361" s="60"/>
    </row>
    <row r="362">
      <c r="A362" s="20">
        <v>100000.0</v>
      </c>
      <c r="B362" s="20">
        <v>768.0</v>
      </c>
      <c r="C362" s="20">
        <v>64.0</v>
      </c>
      <c r="D362" s="20">
        <v>2.6897084258E10</v>
      </c>
      <c r="E362" s="20">
        <v>1.0940913E7</v>
      </c>
      <c r="F362" s="20">
        <v>104161.0</v>
      </c>
      <c r="G362" s="20">
        <v>104161.0</v>
      </c>
      <c r="H362" s="20">
        <v>138391.0</v>
      </c>
      <c r="I362" s="20">
        <v>741.0</v>
      </c>
      <c r="J362" s="59">
        <f t="shared" si="9"/>
        <v>5.495276653</v>
      </c>
      <c r="K362" s="60"/>
    </row>
    <row r="363">
      <c r="A363" s="56"/>
      <c r="B363" s="56"/>
      <c r="C363" s="56"/>
      <c r="D363" s="56"/>
      <c r="E363" s="56"/>
      <c r="F363" s="56"/>
      <c r="G363" s="56"/>
      <c r="H363" s="56"/>
      <c r="I363" s="56"/>
      <c r="J363" s="64"/>
      <c r="K363" s="61"/>
    </row>
  </sheetData>
  <drawing r:id="rId1"/>
</worksheet>
</file>